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2025\1 Cursos\Dio\Santander - Excel com Inteligência Artificial - 2º Semestre\01 - Dominando Tabelas com Excel\05 Controle de investimentos com Excel\"/>
    </mc:Choice>
  </mc:AlternateContent>
  <xr:revisionPtr revIDLastSave="0" documentId="13_ncr:1_{488557F2-D520-49B8-8F32-3DECE8027DAC}" xr6:coauthVersionLast="47" xr6:coauthVersionMax="47" xr10:uidLastSave="{00000000-0000-0000-0000-000000000000}"/>
  <bookViews>
    <workbookView xWindow="-120" yWindow="-120" windowWidth="38640" windowHeight="15720" xr2:uid="{098EEF1C-4321-43AA-A441-2749D12B49EB}"/>
  </bookViews>
  <sheets>
    <sheet name="App" sheetId="1" r:id="rId1"/>
    <sheet name="Sheet2" sheetId="2" r:id="rId2"/>
  </sheets>
  <definedNames>
    <definedName name="rendimento">App!$C$13</definedName>
    <definedName name="salario">App!$C$12</definedName>
    <definedName name="sugestao_investimento">App!$C$14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D39" i="1" s="1"/>
  <c r="A22" i="2"/>
  <c r="A21" i="2"/>
  <c r="A20" i="2"/>
  <c r="A19" i="2"/>
  <c r="A18" i="2"/>
  <c r="A17" i="2"/>
  <c r="A16" i="2"/>
  <c r="A15" i="2"/>
  <c r="A14" i="2"/>
  <c r="A13" i="2"/>
  <c r="A12" i="2"/>
  <c r="A11" i="2"/>
  <c r="A6" i="2"/>
  <c r="A7" i="2"/>
  <c r="A8" i="2"/>
  <c r="A9" i="2"/>
  <c r="A10" i="2"/>
  <c r="C35" i="1" s="1"/>
  <c r="D35" i="1" s="1"/>
  <c r="A5" i="2"/>
  <c r="C31" i="1"/>
  <c r="C17" i="1"/>
  <c r="C37" i="1" l="1"/>
  <c r="D37" i="1" s="1"/>
  <c r="C38" i="1"/>
  <c r="D38" i="1" s="1"/>
  <c r="C36" i="1"/>
  <c r="D36" i="1" s="1"/>
  <c r="C34" i="1"/>
  <c r="D34" i="1" s="1"/>
  <c r="C25" i="1"/>
  <c r="D25" i="1" s="1"/>
  <c r="C24" i="1"/>
  <c r="D24" i="1" s="1"/>
  <c r="C28" i="1"/>
  <c r="D28" i="1" s="1"/>
  <c r="C20" i="1"/>
  <c r="C21" i="1" s="1"/>
  <c r="C27" i="1"/>
  <c r="D27" i="1" s="1"/>
  <c r="C26" i="1"/>
  <c r="D26" i="1" s="1"/>
</calcChain>
</file>

<file path=xl/sharedStrings.xml><?xml version="1.0" encoding="utf-8"?>
<sst xmlns="http://schemas.openxmlformats.org/spreadsheetml/2006/main" count="69" uniqueCount="35">
  <si>
    <t xml:space="preserve">Quanto investor por mês? </t>
  </si>
  <si>
    <t xml:space="preserve">Por quantos anos? </t>
  </si>
  <si>
    <t>Taxa de rendimento?</t>
  </si>
  <si>
    <t xml:space="preserve">Patrimonio acumulado? </t>
  </si>
  <si>
    <t xml:space="preserve">Dividendos mensais? </t>
  </si>
  <si>
    <t xml:space="preserve">INVESTIMENTO MENSAL </t>
  </si>
  <si>
    <t>CENÁRIOS</t>
  </si>
  <si>
    <t>Projeção para 2 anos:</t>
  </si>
  <si>
    <t>Projeção para 5 anos:</t>
  </si>
  <si>
    <t>Projeção para 10 anos:</t>
  </si>
  <si>
    <t>Projeção para 20 anos:</t>
  </si>
  <si>
    <t>Projeção para 30 anos:</t>
  </si>
  <si>
    <t xml:space="preserve">Dividendo </t>
  </si>
  <si>
    <t>Configurações</t>
  </si>
  <si>
    <t xml:space="preserve">Salário </t>
  </si>
  <si>
    <t xml:space="preserve">Rendimento Carteira </t>
  </si>
  <si>
    <t>Sugestão de Investimento</t>
  </si>
  <si>
    <t>PERFIL</t>
  </si>
  <si>
    <t>Agressivo</t>
  </si>
  <si>
    <t>VALOR A SER INVESTIDO POR MÊS</t>
  </si>
  <si>
    <t>CHAVE</t>
  </si>
  <si>
    <t xml:space="preserve">PERFIL </t>
  </si>
  <si>
    <t>TIPO DE FII</t>
  </si>
  <si>
    <t>%</t>
  </si>
  <si>
    <t xml:space="preserve">Conservador </t>
  </si>
  <si>
    <t>PAPEL</t>
  </si>
  <si>
    <t>TIJOLO</t>
  </si>
  <si>
    <t>HÍBRIDOS</t>
  </si>
  <si>
    <t>FOFS</t>
  </si>
  <si>
    <t>DESENVOLVIMENTO</t>
  </si>
  <si>
    <t>TIPO FII</t>
  </si>
  <si>
    <t xml:space="preserve">Percentual sugerido </t>
  </si>
  <si>
    <t>Valores</t>
  </si>
  <si>
    <t>HOTELARIA</t>
  </si>
  <si>
    <t>Moderador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</si>
</sst>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7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b/>
      <sz val="20"/>
      <color theme="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theme="2" tint="-0.24994659260841701"/>
      </bottom>
      <diagonal/>
    </border>
    <border>
      <left/>
      <right style="medium">
        <color indexed="64"/>
      </right>
      <top/>
      <bottom style="medium">
        <color theme="2" tint="-0.24994659260841701"/>
      </bottom>
      <diagonal/>
    </border>
    <border>
      <left style="medium">
        <color indexed="64"/>
      </left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 style="medium">
        <color indexed="64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indexed="64"/>
      </left>
      <right/>
      <top style="medium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theme="2" tint="-0.24994659260841701"/>
      </bottom>
      <diagonal/>
    </border>
    <border>
      <left/>
      <right/>
      <top style="medium">
        <color theme="2" tint="-0.24994659260841701"/>
      </top>
      <bottom style="medium">
        <color theme="2" tint="-0.24994659260841701"/>
      </bottom>
      <diagonal/>
    </border>
    <border>
      <left/>
      <right/>
      <top style="medium">
        <color theme="2" tint="-0.24994659260841701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7">
    <xf numFmtId="0" fontId="0" fillId="0" borderId="0" xfId="0"/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0" borderId="0" xfId="0" applyFont="1"/>
    <xf numFmtId="0" fontId="9" fillId="3" borderId="3" xfId="0" applyFont="1" applyFill="1" applyBorder="1" applyAlignment="1">
      <alignment horizontal="center" vertical="center"/>
    </xf>
    <xf numFmtId="167" fontId="8" fillId="4" borderId="1" xfId="1" applyNumberFormat="1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left" indent="1"/>
    </xf>
    <xf numFmtId="167" fontId="8" fillId="4" borderId="17" xfId="1" applyNumberFormat="1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left" indent="1"/>
    </xf>
    <xf numFmtId="167" fontId="8" fillId="4" borderId="20" xfId="1" applyNumberFormat="1" applyFont="1" applyFill="1" applyBorder="1" applyAlignment="1">
      <alignment horizontal="center" vertical="center"/>
    </xf>
    <xf numFmtId="167" fontId="4" fillId="4" borderId="15" xfId="0" applyNumberFormat="1" applyFont="1" applyFill="1" applyBorder="1"/>
    <xf numFmtId="167" fontId="4" fillId="4" borderId="5" xfId="0" applyNumberFormat="1" applyFont="1" applyFill="1" applyBorder="1"/>
    <xf numFmtId="0" fontId="7" fillId="3" borderId="2" xfId="0" applyFont="1" applyFill="1" applyBorder="1" applyAlignment="1">
      <alignment horizontal="left" vertical="center" indent="1"/>
    </xf>
    <xf numFmtId="0" fontId="7" fillId="3" borderId="12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indent="1"/>
    </xf>
    <xf numFmtId="0" fontId="4" fillId="4" borderId="16" xfId="0" applyFont="1" applyFill="1" applyBorder="1" applyAlignment="1">
      <alignment horizontal="left" indent="1"/>
    </xf>
    <xf numFmtId="0" fontId="4" fillId="4" borderId="19" xfId="0" applyFont="1" applyFill="1" applyBorder="1" applyAlignment="1">
      <alignment horizontal="left" indent="1"/>
    </xf>
    <xf numFmtId="0" fontId="0" fillId="0" borderId="22" xfId="0" applyFont="1" applyBorder="1" applyAlignment="1">
      <alignment horizontal="left" indent="1"/>
    </xf>
    <xf numFmtId="167" fontId="8" fillId="0" borderId="23" xfId="1" applyNumberFormat="1" applyFont="1" applyBorder="1" applyAlignment="1">
      <alignment horizontal="right" vertical="center" indent="2"/>
    </xf>
    <xf numFmtId="167" fontId="8" fillId="0" borderId="24" xfId="1" applyNumberFormat="1" applyFont="1" applyBorder="1" applyAlignment="1">
      <alignment horizontal="right" vertical="center" indent="2"/>
    </xf>
    <xf numFmtId="0" fontId="0" fillId="0" borderId="25" xfId="0" applyFont="1" applyBorder="1" applyAlignment="1">
      <alignment horizontal="left" indent="1"/>
    </xf>
    <xf numFmtId="9" fontId="8" fillId="0" borderId="26" xfId="2" applyFont="1" applyBorder="1" applyAlignment="1">
      <alignment horizontal="right" vertical="center" indent="2"/>
    </xf>
    <xf numFmtId="9" fontId="8" fillId="0" borderId="27" xfId="2" applyFont="1" applyBorder="1" applyAlignment="1">
      <alignment horizontal="right" vertical="center" indent="2"/>
    </xf>
    <xf numFmtId="0" fontId="0" fillId="4" borderId="28" xfId="0" applyFont="1" applyFill="1" applyBorder="1" applyAlignment="1">
      <alignment horizontal="left" indent="1"/>
    </xf>
    <xf numFmtId="167" fontId="8" fillId="4" borderId="29" xfId="1" applyNumberFormat="1" applyFont="1" applyFill="1" applyBorder="1" applyAlignment="1">
      <alignment horizontal="right" vertical="center" indent="2"/>
    </xf>
    <xf numFmtId="167" fontId="8" fillId="4" borderId="30" xfId="1" applyNumberFormat="1" applyFont="1" applyFill="1" applyBorder="1" applyAlignment="1">
      <alignment horizontal="right" vertical="center" indent="2"/>
    </xf>
    <xf numFmtId="0" fontId="0" fillId="0" borderId="14" xfId="0" applyFont="1" applyBorder="1" applyAlignment="1">
      <alignment horizontal="left" indent="1"/>
    </xf>
    <xf numFmtId="167" fontId="8" fillId="0" borderId="1" xfId="1" applyNumberFormat="1" applyFont="1" applyBorder="1" applyAlignment="1">
      <alignment horizontal="right" vertical="center" indent="1"/>
    </xf>
    <xf numFmtId="167" fontId="8" fillId="0" borderId="15" xfId="1" applyNumberFormat="1" applyFont="1" applyBorder="1" applyAlignment="1">
      <alignment horizontal="right" vertical="center" indent="1"/>
    </xf>
    <xf numFmtId="0" fontId="0" fillId="0" borderId="16" xfId="0" applyFont="1" applyBorder="1" applyAlignment="1">
      <alignment horizontal="left" indent="1"/>
    </xf>
    <xf numFmtId="0" fontId="8" fillId="0" borderId="17" xfId="0" applyFont="1" applyBorder="1" applyAlignment="1">
      <alignment horizontal="right" vertical="center" indent="1"/>
    </xf>
    <xf numFmtId="0" fontId="8" fillId="0" borderId="18" xfId="0" applyFont="1" applyBorder="1" applyAlignment="1">
      <alignment horizontal="right" vertical="center" indent="1"/>
    </xf>
    <xf numFmtId="10" fontId="8" fillId="0" borderId="17" xfId="2" applyNumberFormat="1" applyFont="1" applyBorder="1" applyAlignment="1">
      <alignment horizontal="right" vertical="center" indent="1"/>
    </xf>
    <xf numFmtId="10" fontId="8" fillId="0" borderId="18" xfId="2" applyNumberFormat="1" applyFont="1" applyBorder="1" applyAlignment="1">
      <alignment horizontal="right" vertical="center" indent="1"/>
    </xf>
    <xf numFmtId="8" fontId="8" fillId="4" borderId="17" xfId="0" applyNumberFormat="1" applyFont="1" applyFill="1" applyBorder="1" applyAlignment="1">
      <alignment horizontal="right" vertical="center" indent="1"/>
    </xf>
    <xf numFmtId="8" fontId="8" fillId="4" borderId="18" xfId="0" applyNumberFormat="1" applyFont="1" applyFill="1" applyBorder="1" applyAlignment="1">
      <alignment horizontal="right" vertical="center" indent="1"/>
    </xf>
    <xf numFmtId="8" fontId="8" fillId="4" borderId="20" xfId="0" applyNumberFormat="1" applyFont="1" applyFill="1" applyBorder="1" applyAlignment="1">
      <alignment horizontal="right" vertical="center" indent="1"/>
    </xf>
    <xf numFmtId="8" fontId="8" fillId="4" borderId="21" xfId="0" applyNumberFormat="1" applyFont="1" applyFill="1" applyBorder="1" applyAlignment="1">
      <alignment horizontal="right" vertical="center" indent="1"/>
    </xf>
    <xf numFmtId="0" fontId="3" fillId="6" borderId="0" xfId="0" applyFont="1" applyFill="1" applyAlignment="1">
      <alignment horizontal="center"/>
    </xf>
    <xf numFmtId="9" fontId="0" fillId="0" borderId="0" xfId="2" applyFont="1" applyAlignment="1">
      <alignment horizontal="center"/>
    </xf>
    <xf numFmtId="0" fontId="0" fillId="0" borderId="13" xfId="0" applyBorder="1" applyAlignment="1">
      <alignment horizontal="center"/>
    </xf>
    <xf numFmtId="9" fontId="0" fillId="0" borderId="13" xfId="2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164" fontId="0" fillId="0" borderId="13" xfId="2" applyNumberFormat="1" applyFont="1" applyBorder="1" applyAlignment="1">
      <alignment horizontal="center"/>
    </xf>
    <xf numFmtId="0" fontId="2" fillId="2" borderId="2" xfId="3" applyBorder="1" applyAlignment="1">
      <alignment horizontal="left" indent="1"/>
    </xf>
    <xf numFmtId="0" fontId="2" fillId="2" borderId="12" xfId="3" applyBorder="1"/>
    <xf numFmtId="0" fontId="2" fillId="2" borderId="3" xfId="3" applyBorder="1"/>
    <xf numFmtId="0" fontId="4" fillId="4" borderId="4" xfId="0" applyFont="1" applyFill="1" applyBorder="1" applyAlignment="1">
      <alignment horizontal="left" indent="1"/>
    </xf>
    <xf numFmtId="167" fontId="4" fillId="4" borderId="13" xfId="1" applyNumberFormat="1" applyFont="1" applyFill="1" applyBorder="1"/>
    <xf numFmtId="0" fontId="0" fillId="4" borderId="5" xfId="0" applyFill="1" applyBorder="1"/>
    <xf numFmtId="0" fontId="0" fillId="7" borderId="2" xfId="0" applyFill="1" applyBorder="1"/>
    <xf numFmtId="0" fontId="0" fillId="7" borderId="12" xfId="0" applyFill="1" applyBorder="1"/>
    <xf numFmtId="0" fontId="0" fillId="7" borderId="3" xfId="0" applyFill="1" applyBorder="1"/>
    <xf numFmtId="0" fontId="0" fillId="0" borderId="6" xfId="0" applyBorder="1" applyAlignment="1">
      <alignment horizontal="center"/>
    </xf>
    <xf numFmtId="9" fontId="0" fillId="0" borderId="31" xfId="2" applyFont="1" applyBorder="1"/>
    <xf numFmtId="167" fontId="0" fillId="0" borderId="7" xfId="0" applyNumberFormat="1" applyBorder="1"/>
    <xf numFmtId="0" fontId="0" fillId="0" borderId="8" xfId="0" applyBorder="1" applyAlignment="1">
      <alignment horizontal="center"/>
    </xf>
    <xf numFmtId="9" fontId="0" fillId="0" borderId="32" xfId="2" applyFont="1" applyBorder="1"/>
    <xf numFmtId="167" fontId="0" fillId="0" borderId="9" xfId="0" applyNumberFormat="1" applyBorder="1"/>
    <xf numFmtId="0" fontId="0" fillId="0" borderId="10" xfId="0" applyBorder="1" applyAlignment="1">
      <alignment horizontal="center"/>
    </xf>
    <xf numFmtId="9" fontId="0" fillId="0" borderId="33" xfId="2" applyFont="1" applyBorder="1"/>
    <xf numFmtId="167" fontId="0" fillId="0" borderId="11" xfId="0" applyNumberFormat="1" applyBorder="1"/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F-4A87-AB18-7043A5D3B5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96F-4A87-AB18-7043A5D3B5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0.1</c:v>
                </c:pt>
                <c:pt idx="3">
                  <c:v>0.2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F-4A87-AB18-7043A5D3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591207</xdr:colOff>
      <xdr:row>1</xdr:row>
      <xdr:rowOff>142218</xdr:rowOff>
    </xdr:from>
    <xdr:to>
      <xdr:col>4</xdr:col>
      <xdr:colOff>52552</xdr:colOff>
      <xdr:row>8</xdr:row>
      <xdr:rowOff>76184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2E796-E64E-C499-92A9-4571C3BB7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207" y="332718"/>
          <a:ext cx="5373414" cy="1267466"/>
        </a:xfrm>
        <a:prstGeom prst="rect">
          <a:avLst/>
        </a:prstGeom>
      </xdr:spPr>
    </xdr:pic>
    <xdr:clientData/>
  </xdr:twoCellAnchor>
  <xdr:twoCellAnchor>
    <xdr:from>
      <xdr:col>1</xdr:col>
      <xdr:colOff>361293</xdr:colOff>
      <xdr:row>40</xdr:row>
      <xdr:rowOff>57151</xdr:rowOff>
    </xdr:from>
    <xdr:to>
      <xdr:col>3</xdr:col>
      <xdr:colOff>683173</xdr:colOff>
      <xdr:row>54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37E6B3-40D0-90BE-31DF-3BC80FA10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8F6E-6876-4797-A2DC-940F620CB621}">
  <dimension ref="A10:E61"/>
  <sheetViews>
    <sheetView showGridLines="0" tabSelected="1" topLeftCell="A28" zoomScale="145" zoomScaleNormal="145" workbookViewId="0">
      <selection activeCell="E47" sqref="E47"/>
    </sheetView>
  </sheetViews>
  <sheetFormatPr defaultColWidth="0" defaultRowHeight="15" x14ac:dyDescent="0.25"/>
  <cols>
    <col min="1" max="1" width="9.140625" customWidth="1"/>
    <col min="2" max="2" width="43.85546875" customWidth="1"/>
    <col min="3" max="3" width="19.85546875" customWidth="1"/>
    <col min="4" max="4" width="15.7109375" customWidth="1"/>
    <col min="5" max="5" width="8.28515625" customWidth="1"/>
    <col min="6" max="16384" width="20" hidden="1"/>
  </cols>
  <sheetData>
    <row r="10" spans="2:4" ht="15.75" thickBot="1" x14ac:dyDescent="0.3"/>
    <row r="11" spans="2:4" ht="18.75" x14ac:dyDescent="0.25">
      <c r="B11" s="15" t="s">
        <v>13</v>
      </c>
      <c r="C11" s="16"/>
      <c r="D11" s="17"/>
    </row>
    <row r="12" spans="2:4" ht="13.5" customHeight="1" x14ac:dyDescent="0.25">
      <c r="B12" s="22" t="s">
        <v>14</v>
      </c>
      <c r="C12" s="23">
        <v>5000</v>
      </c>
      <c r="D12" s="24"/>
    </row>
    <row r="13" spans="2:4" ht="15.75" x14ac:dyDescent="0.25">
      <c r="B13" s="25" t="s">
        <v>15</v>
      </c>
      <c r="C13" s="26">
        <v>0.01</v>
      </c>
      <c r="D13" s="27"/>
    </row>
    <row r="14" spans="2:4" ht="16.5" thickBot="1" x14ac:dyDescent="0.3">
      <c r="B14" s="28" t="s">
        <v>16</v>
      </c>
      <c r="C14" s="29">
        <v>1500</v>
      </c>
      <c r="D14" s="30"/>
    </row>
    <row r="15" spans="2:4" ht="15.75" thickBot="1" x14ac:dyDescent="0.3"/>
    <row r="16" spans="2:4" ht="26.25" x14ac:dyDescent="0.25">
      <c r="B16" s="1" t="s">
        <v>5</v>
      </c>
      <c r="C16" s="18"/>
      <c r="D16" s="2"/>
    </row>
    <row r="17" spans="1:4" ht="15.75" x14ac:dyDescent="0.25">
      <c r="B17" s="31" t="s">
        <v>0</v>
      </c>
      <c r="C17" s="32">
        <f>(salario)*0.3</f>
        <v>1500</v>
      </c>
      <c r="D17" s="33"/>
    </row>
    <row r="18" spans="1:4" ht="15.75" x14ac:dyDescent="0.25">
      <c r="A18" s="3">
        <v>2</v>
      </c>
      <c r="B18" s="34" t="s">
        <v>1</v>
      </c>
      <c r="C18" s="35">
        <v>5</v>
      </c>
      <c r="D18" s="36"/>
    </row>
    <row r="19" spans="1:4" ht="15.75" x14ac:dyDescent="0.25">
      <c r="A19" s="3">
        <v>5</v>
      </c>
      <c r="B19" s="34" t="s">
        <v>2</v>
      </c>
      <c r="C19" s="37">
        <v>1.0800000000000001E-2</v>
      </c>
      <c r="D19" s="38"/>
    </row>
    <row r="20" spans="1:4" ht="15.75" x14ac:dyDescent="0.25">
      <c r="A20" s="3">
        <v>10</v>
      </c>
      <c r="B20" s="6" t="s">
        <v>3</v>
      </c>
      <c r="C20" s="39">
        <f>FV(C19,C18*12,C17*-1)</f>
        <v>125706.02903888765</v>
      </c>
      <c r="D20" s="40"/>
    </row>
    <row r="21" spans="1:4" ht="16.5" thickBot="1" x14ac:dyDescent="0.3">
      <c r="A21" s="3">
        <v>20</v>
      </c>
      <c r="B21" s="8" t="s">
        <v>4</v>
      </c>
      <c r="C21" s="41">
        <f>C20*C13</f>
        <v>1257.0602903888764</v>
      </c>
      <c r="D21" s="42"/>
    </row>
    <row r="22" spans="1:4" ht="15.75" thickBot="1" x14ac:dyDescent="0.3">
      <c r="A22" s="3">
        <v>30</v>
      </c>
    </row>
    <row r="23" spans="1:4" ht="26.25" x14ac:dyDescent="0.25">
      <c r="B23" s="12" t="s">
        <v>6</v>
      </c>
      <c r="C23" s="13"/>
      <c r="D23" s="4" t="s">
        <v>12</v>
      </c>
    </row>
    <row r="24" spans="1:4" ht="15.75" x14ac:dyDescent="0.25">
      <c r="B24" s="19" t="s">
        <v>7</v>
      </c>
      <c r="C24" s="5">
        <f>FV($C$19,$A18*12,$C$17*-1)</f>
        <v>40846.295490872384</v>
      </c>
      <c r="D24" s="10">
        <f>C24*rendimento</f>
        <v>408.46295490872387</v>
      </c>
    </row>
    <row r="25" spans="1:4" ht="15.75" x14ac:dyDescent="0.25">
      <c r="B25" s="20" t="s">
        <v>8</v>
      </c>
      <c r="C25" s="7">
        <f>FV($C$19,$A19*12,$C$17*-1)</f>
        <v>125706.02903888765</v>
      </c>
      <c r="D25" s="10">
        <f>C25*rendimento</f>
        <v>1257.0602903888764</v>
      </c>
    </row>
    <row r="26" spans="1:4" ht="15.75" x14ac:dyDescent="0.25">
      <c r="B26" s="20" t="s">
        <v>9</v>
      </c>
      <c r="C26" s="7">
        <f>FV($C$19,$A20*12,$C$17*-1)</f>
        <v>365186.49938220013</v>
      </c>
      <c r="D26" s="10">
        <f>C26*rendimento</f>
        <v>3651.8649938220015</v>
      </c>
    </row>
    <row r="27" spans="1:4" ht="15.75" x14ac:dyDescent="0.25">
      <c r="B27" s="20" t="s">
        <v>10</v>
      </c>
      <c r="C27" s="7">
        <f>FV($C$19,$A21*12,$C$17*-1)</f>
        <v>1690573.4899477849</v>
      </c>
      <c r="D27" s="10">
        <f>C27*rendimento</f>
        <v>16905.734899477851</v>
      </c>
    </row>
    <row r="28" spans="1:4" ht="16.5" thickBot="1" x14ac:dyDescent="0.3">
      <c r="B28" s="21" t="s">
        <v>11</v>
      </c>
      <c r="C28" s="9">
        <f>FV($C$19,$A22*12,$C$17*-1)</f>
        <v>6500857.2154751271</v>
      </c>
      <c r="D28" s="11">
        <f>C28*rendimento</f>
        <v>65008.572154751273</v>
      </c>
    </row>
    <row r="29" spans="1:4" ht="15.75" thickBot="1" x14ac:dyDescent="0.3"/>
    <row r="30" spans="1:4" x14ac:dyDescent="0.25">
      <c r="B30" s="49" t="s">
        <v>17</v>
      </c>
      <c r="C30" s="50" t="s">
        <v>18</v>
      </c>
      <c r="D30" s="51"/>
    </row>
    <row r="31" spans="1:4" ht="15.75" thickBot="1" x14ac:dyDescent="0.3">
      <c r="B31" s="52" t="s">
        <v>19</v>
      </c>
      <c r="C31" s="53">
        <f>sugestao_investimento</f>
        <v>1500</v>
      </c>
      <c r="D31" s="54"/>
    </row>
    <row r="32" spans="1:4" ht="15.75" thickBot="1" x14ac:dyDescent="0.3"/>
    <row r="33" spans="2:4" x14ac:dyDescent="0.25">
      <c r="B33" s="55" t="s">
        <v>30</v>
      </c>
      <c r="C33" s="56" t="s">
        <v>31</v>
      </c>
      <c r="D33" s="57" t="s">
        <v>32</v>
      </c>
    </row>
    <row r="34" spans="2:4" ht="15.75" thickBot="1" x14ac:dyDescent="0.3">
      <c r="B34" s="58" t="s">
        <v>25</v>
      </c>
      <c r="C34" s="59">
        <f>VLOOKUP($C$30&amp;"-"&amp;B34,Sheet2!$A:$D,4,FALSE)</f>
        <v>0.5</v>
      </c>
      <c r="D34" s="60">
        <f>$C$31*C34</f>
        <v>750</v>
      </c>
    </row>
    <row r="35" spans="2:4" ht="15.75" thickBot="1" x14ac:dyDescent="0.3">
      <c r="B35" s="61" t="s">
        <v>26</v>
      </c>
      <c r="C35" s="62">
        <f>VLOOKUP($C$30&amp;"-"&amp;B35,Sheet2!$A:$D,4,FALSE)</f>
        <v>0.1</v>
      </c>
      <c r="D35" s="63">
        <f t="shared" ref="D35:D39" si="0">$C$31*C35</f>
        <v>150</v>
      </c>
    </row>
    <row r="36" spans="2:4" ht="15.75" thickBot="1" x14ac:dyDescent="0.3">
      <c r="B36" s="61" t="s">
        <v>27</v>
      </c>
      <c r="C36" s="62">
        <f>VLOOKUP($C$30&amp;"-"&amp;B36,Sheet2!$A:$D,4,FALSE)</f>
        <v>0.1</v>
      </c>
      <c r="D36" s="63">
        <f t="shared" si="0"/>
        <v>150</v>
      </c>
    </row>
    <row r="37" spans="2:4" ht="15.75" thickBot="1" x14ac:dyDescent="0.3">
      <c r="B37" s="61" t="s">
        <v>28</v>
      </c>
      <c r="C37" s="62">
        <f>VLOOKUP($C$30&amp;"-"&amp;B37,Sheet2!$A:$D,4,FALSE)</f>
        <v>0.2</v>
      </c>
      <c r="D37" s="63">
        <f t="shared" si="0"/>
        <v>300</v>
      </c>
    </row>
    <row r="38" spans="2:4" ht="15.75" thickBot="1" x14ac:dyDescent="0.3">
      <c r="B38" s="61" t="s">
        <v>29</v>
      </c>
      <c r="C38" s="62">
        <f>VLOOKUP($C$30&amp;"-"&amp;B38,Sheet2!$A:$D,4,FALSE)</f>
        <v>0.05</v>
      </c>
      <c r="D38" s="63">
        <f t="shared" si="0"/>
        <v>75</v>
      </c>
    </row>
    <row r="39" spans="2:4" ht="15.75" thickBot="1" x14ac:dyDescent="0.3">
      <c r="B39" s="64" t="s">
        <v>33</v>
      </c>
      <c r="C39" s="65">
        <f>VLOOKUP($C$30&amp;"-"&amp;B39,Sheet2!$A:$D,4,FALSE)</f>
        <v>0.05</v>
      </c>
      <c r="D39" s="66">
        <f t="shared" si="0"/>
        <v>75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</sheetData>
  <mergeCells count="10">
    <mergeCell ref="C17:D17"/>
    <mergeCell ref="C18:D18"/>
    <mergeCell ref="C19:D19"/>
    <mergeCell ref="C20:D20"/>
    <mergeCell ref="C21:D21"/>
    <mergeCell ref="B11:D11"/>
    <mergeCell ref="C12:D12"/>
    <mergeCell ref="C13:D13"/>
    <mergeCell ref="C14:D14"/>
    <mergeCell ref="B16:D16"/>
  </mergeCells>
  <dataValidations count="1">
    <dataValidation type="list" allowBlank="1" showInputMessage="1" showErrorMessage="1" sqref="C30" xr:uid="{B34BD1E1-1E82-4490-B5B4-404C200D1BE6}">
      <formula1>"Agressivo, Moderador, Conservador"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22A5-3C44-4DD2-989A-E371A314F7F7}">
  <dimension ref="A4:D22"/>
  <sheetViews>
    <sheetView workbookViewId="0">
      <selection activeCell="C11" sqref="C11:C16"/>
    </sheetView>
  </sheetViews>
  <sheetFormatPr defaultRowHeight="15" x14ac:dyDescent="0.25"/>
  <cols>
    <col min="1" max="1" width="31.28515625" bestFit="1" customWidth="1"/>
    <col min="2" max="2" width="12.5703125" bestFit="1" customWidth="1"/>
    <col min="3" max="3" width="18.5703125" bestFit="1" customWidth="1"/>
    <col min="4" max="4" width="5.140625" bestFit="1" customWidth="1"/>
  </cols>
  <sheetData>
    <row r="4" spans="1:4" x14ac:dyDescent="0.25">
      <c r="A4" s="43" t="s">
        <v>20</v>
      </c>
      <c r="B4" s="43" t="s">
        <v>21</v>
      </c>
      <c r="C4" s="43" t="s">
        <v>22</v>
      </c>
      <c r="D4" s="43" t="s">
        <v>23</v>
      </c>
    </row>
    <row r="5" spans="1:4" x14ac:dyDescent="0.25">
      <c r="A5" s="14" t="str">
        <f>B5&amp;"-"&amp;C5</f>
        <v>Conservador -PAPEL</v>
      </c>
      <c r="B5" s="14" t="s">
        <v>24</v>
      </c>
      <c r="C5" s="14" t="s">
        <v>25</v>
      </c>
      <c r="D5" s="44">
        <v>0.3</v>
      </c>
    </row>
    <row r="6" spans="1:4" x14ac:dyDescent="0.25">
      <c r="A6" s="14" t="str">
        <f t="shared" ref="A6:A10" si="0">B6&amp;"-"&amp;C6</f>
        <v>Conservador -TIJOLO</v>
      </c>
      <c r="B6" s="14" t="s">
        <v>24</v>
      </c>
      <c r="C6" s="14" t="s">
        <v>26</v>
      </c>
      <c r="D6" s="44">
        <v>0.5</v>
      </c>
    </row>
    <row r="7" spans="1:4" x14ac:dyDescent="0.25">
      <c r="A7" s="14" t="str">
        <f t="shared" si="0"/>
        <v>Conservador -HÍBRIDOS</v>
      </c>
      <c r="B7" s="14" t="s">
        <v>24</v>
      </c>
      <c r="C7" s="14" t="s">
        <v>27</v>
      </c>
      <c r="D7" s="44">
        <v>0.1</v>
      </c>
    </row>
    <row r="8" spans="1:4" x14ac:dyDescent="0.25">
      <c r="A8" s="14" t="str">
        <f t="shared" si="0"/>
        <v>Conservador -FOFS</v>
      </c>
      <c r="B8" s="14" t="s">
        <v>24</v>
      </c>
      <c r="C8" s="14" t="s">
        <v>28</v>
      </c>
      <c r="D8" s="44">
        <v>0.1</v>
      </c>
    </row>
    <row r="9" spans="1:4" x14ac:dyDescent="0.25">
      <c r="A9" s="14" t="str">
        <f t="shared" si="0"/>
        <v>Conservador -DESENVOLVIMENTO</v>
      </c>
      <c r="B9" s="14" t="s">
        <v>24</v>
      </c>
      <c r="C9" s="14" t="s">
        <v>29</v>
      </c>
      <c r="D9" s="44">
        <v>0</v>
      </c>
    </row>
    <row r="10" spans="1:4" ht="15.75" thickBot="1" x14ac:dyDescent="0.3">
      <c r="A10" s="45" t="str">
        <f t="shared" si="0"/>
        <v>Conservador -HOTELARIA</v>
      </c>
      <c r="B10" s="45" t="s">
        <v>24</v>
      </c>
      <c r="C10" s="45" t="s">
        <v>33</v>
      </c>
      <c r="D10" s="46">
        <v>0</v>
      </c>
    </row>
    <row r="11" spans="1:4" x14ac:dyDescent="0.25">
      <c r="A11" s="14" t="str">
        <f>B11&amp;"-"&amp;C11</f>
        <v>Moderador-PAPEL</v>
      </c>
      <c r="B11" s="14" t="s">
        <v>34</v>
      </c>
      <c r="C11" s="14" t="s">
        <v>25</v>
      </c>
      <c r="D11" s="44">
        <v>0.32</v>
      </c>
    </row>
    <row r="12" spans="1:4" x14ac:dyDescent="0.25">
      <c r="A12" s="14" t="str">
        <f t="shared" ref="A12:A16" si="1">B12&amp;"-"&amp;C12</f>
        <v>Moderador-TIJOLO</v>
      </c>
      <c r="B12" s="14" t="s">
        <v>34</v>
      </c>
      <c r="C12" s="14" t="s">
        <v>26</v>
      </c>
      <c r="D12" s="44">
        <v>0.4</v>
      </c>
    </row>
    <row r="13" spans="1:4" x14ac:dyDescent="0.25">
      <c r="A13" s="14" t="str">
        <f t="shared" si="1"/>
        <v>Moderador-HÍBRIDOS</v>
      </c>
      <c r="B13" s="14" t="s">
        <v>34</v>
      </c>
      <c r="C13" s="14" t="s">
        <v>27</v>
      </c>
      <c r="D13" s="47">
        <v>0.03</v>
      </c>
    </row>
    <row r="14" spans="1:4" x14ac:dyDescent="0.25">
      <c r="A14" s="14" t="str">
        <f t="shared" si="1"/>
        <v>Moderador-FOFS</v>
      </c>
      <c r="B14" s="14" t="s">
        <v>34</v>
      </c>
      <c r="C14" s="14" t="s">
        <v>28</v>
      </c>
      <c r="D14" s="44">
        <v>0.1</v>
      </c>
    </row>
    <row r="15" spans="1:4" x14ac:dyDescent="0.25">
      <c r="A15" s="14" t="str">
        <f t="shared" si="1"/>
        <v>Moderador-DESENVOLVIMENTO</v>
      </c>
      <c r="B15" s="14" t="s">
        <v>34</v>
      </c>
      <c r="C15" s="14" t="s">
        <v>29</v>
      </c>
      <c r="D15" s="44">
        <v>0.1</v>
      </c>
    </row>
    <row r="16" spans="1:4" ht="15.75" thickBot="1" x14ac:dyDescent="0.3">
      <c r="A16" s="45" t="str">
        <f t="shared" si="1"/>
        <v>Moderador-HOTELARIA</v>
      </c>
      <c r="B16" s="45" t="s">
        <v>34</v>
      </c>
      <c r="C16" s="45" t="s">
        <v>33</v>
      </c>
      <c r="D16" s="48">
        <v>0.05</v>
      </c>
    </row>
    <row r="17" spans="1:4" x14ac:dyDescent="0.25">
      <c r="A17" s="14" t="str">
        <f>B17&amp;"-"&amp;C17</f>
        <v>Agressivo-PAPEL</v>
      </c>
      <c r="B17" s="14" t="s">
        <v>18</v>
      </c>
      <c r="C17" s="14" t="s">
        <v>25</v>
      </c>
      <c r="D17" s="44">
        <v>0.5</v>
      </c>
    </row>
    <row r="18" spans="1:4" x14ac:dyDescent="0.25">
      <c r="A18" s="14" t="str">
        <f t="shared" ref="A18:A22" si="2">B18&amp;"-"&amp;C18</f>
        <v>Agressivo-TIJOLO</v>
      </c>
      <c r="B18" s="14" t="s">
        <v>18</v>
      </c>
      <c r="C18" s="14" t="s">
        <v>26</v>
      </c>
      <c r="D18" s="44">
        <v>0.1</v>
      </c>
    </row>
    <row r="19" spans="1:4" x14ac:dyDescent="0.25">
      <c r="A19" s="14" t="str">
        <f t="shared" si="2"/>
        <v>Agressivo-HÍBRIDOS</v>
      </c>
      <c r="B19" s="14" t="s">
        <v>18</v>
      </c>
      <c r="C19" s="14" t="s">
        <v>27</v>
      </c>
      <c r="D19" s="44">
        <v>0.1</v>
      </c>
    </row>
    <row r="20" spans="1:4" x14ac:dyDescent="0.25">
      <c r="A20" s="14" t="str">
        <f t="shared" si="2"/>
        <v>Agressivo-FOFS</v>
      </c>
      <c r="B20" s="14" t="s">
        <v>18</v>
      </c>
      <c r="C20" s="14" t="s">
        <v>28</v>
      </c>
      <c r="D20" s="44">
        <v>0.2</v>
      </c>
    </row>
    <row r="21" spans="1:4" x14ac:dyDescent="0.25">
      <c r="A21" s="14" t="str">
        <f t="shared" si="2"/>
        <v>Agressivo-DESENVOLVIMENTO</v>
      </c>
      <c r="B21" s="14" t="s">
        <v>18</v>
      </c>
      <c r="C21" s="14" t="s">
        <v>29</v>
      </c>
      <c r="D21" s="44">
        <v>0.05</v>
      </c>
    </row>
    <row r="22" spans="1:4" ht="15.75" thickBot="1" x14ac:dyDescent="0.3">
      <c r="A22" s="45" t="str">
        <f t="shared" si="2"/>
        <v>Agressivo-HOTELARIA</v>
      </c>
      <c r="B22" s="45" t="s">
        <v>18</v>
      </c>
      <c r="C22" s="45" t="s">
        <v>33</v>
      </c>
      <c r="D22" s="4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App</vt:lpstr>
      <vt:lpstr>Sheet2</vt:lpstr>
      <vt:lpstr>rendimento</vt:lpstr>
      <vt:lpstr>salario</vt:lpstr>
      <vt:lpstr>sugestao_investimento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WANDEILSON ALVES BEZERRA FERREIRA</dc:creator>
  <cp:lastModifiedBy>WANDEILSON ALVES BEZERRA FERREIRA</cp:lastModifiedBy>
  <dcterms:created xsi:type="dcterms:W3CDTF">2026-01-04T00:05:48Z</dcterms:created>
  <dcterms:modified xsi:type="dcterms:W3CDTF">2026-01-04T01:22:42Z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2026-01-04T00:05:55Z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a9ba7c06-c1aa-4701-83fb-676b19df0c4d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
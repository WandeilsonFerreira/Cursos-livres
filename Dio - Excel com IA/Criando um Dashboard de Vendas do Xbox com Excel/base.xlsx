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I:\My Drive\2025\1 Cursos\2025\Dio\Santander - Excel com Inteligência Artificial - 2º Semestre\03 - Criando Dashboards com Excel\06 Criando um Dashboard de vendas do Exbox com Excel\"/>
    </mc:Choice>
  </mc:AlternateContent>
  <xr:revisionPtr revIDLastSave="0" documentId="13_ncr:1_{4B2B9922-B2F2-4377-9458-FEFC12DDFA9B}" xr6:coauthVersionLast="47" xr6:coauthVersionMax="47" xr10:uidLastSave="{00000000-0000-0000-0000-000000000000}"/>
  <bookViews>
    <workbookView xWindow="-22575" yWindow="-780" windowWidth="22680" windowHeight="15585" activeTab="3" xr2:uid="{28DD5B76-0634-4F87-BE60-8BFA7EF2E23B}"/>
  </bookViews>
  <sheets>
    <sheet name="A̳ssets" sheetId="1" r:id="rId1"/>
    <sheet name="B̳ases" sheetId="2" r:id="rId2"/>
    <sheet name="C̳álculos" sheetId="3" r:id="rId3"/>
    <sheet name="Dashboard" sheetId="5" r:id="rId4"/>
  </sheets>
  <definedNames>
    <definedName name="SegmentaçãodeDados_Subscription_Type">#N/A</definedName>
  </definedNames>
  <calcPr calcId="191029"/>
  <pivotCaches>
    <pivotCache cacheId="1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3" l="1"/>
  <c r="E28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<sst xmlns="http://schemas.openxmlformats.org/spreadsheetml/2006/main" count="2021" uniqueCount="323">
  <si>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</si>
  <si>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</si>
  <si>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</si>
  <si>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</si>
  <si>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</si>
  <si>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</si>
  <si>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</si>
  <si>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</si>
  <si>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</si>
  <si>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</si>
  <si>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</si>
  <si>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</si>
  <si>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</si>
  <si>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</si>
  <si>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</si>
  <si>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</si>
  <si>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</si>
  <si>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</si>
  <si>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</si>
  <si>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</si>
  <si>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</si>
  <si>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</si>
  <si>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</si>
  <si>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</si>
  <si>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</si>
  <si>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</si>
  <si>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</si>
  <si>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</si>
  <si>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</si>
  <si>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</si>
  <si>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</si>
  <si>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</si>
  <si>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</si>
  <si>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</si>
  <si>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</si>
  <si>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</si>
  <si>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</si>
  <si>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</si>
  <si>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</si>
  <si>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</si>
  <si>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</si>
  <si>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</si>
  <si>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</si>
  <si>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</si>
  <si>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</si>
  <si>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</si>
  <si>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</si>
  <si>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</si>
  <si>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</si>
  <si>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</si>
  <si>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</si>
  <si>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</si>
  <si>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</si>
  <si>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</si>
  <si>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</si>
  <si>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</si>
  <si>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</si>
  <si>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</si>
  <si>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</si>
  <si>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</si>
  <si>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</si>
  <si>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</si>
  <si>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</si>
  <si>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</si>
  <si>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</si>
  <si>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</si>
  <si>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</si>
  <si>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</si>
  <si>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</si>
  <si>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</si>
  <si>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</si>
  <si>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</si>
  <si>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</si>
  <si>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</si>
  <si>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</si>
  <si>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</si>
  <si>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</si>
  <si>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</si>
  <si>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</si>
  <si>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</si>
  <si>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</si>
  <si>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</si>
  <si>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</si>
  <si>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</si>
  <si>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</si>
  <si>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</si>
  <si>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</si>
  <si>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</si>
  <si>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</si>
  <si>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</si>
  <si>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</si>
  <si>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</si>
  <si>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</si>
  <si>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</si>
  <si>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</si>
  <si>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</si>
  <si>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</si>
  <si>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</si>
  <si>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</si>
  <si>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</si>
  <si>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</si>
  <si>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</si>
  <si>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</si>
  <si>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</si>
  <si>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</si>
  <si>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</si>
  <si>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</si>
  <si>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</si>
  <si>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</si>
  <si>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</si>
  <si>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</si>
  <si>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</si>
  <si>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</si>
  <si>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</si>
  <si>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</si>
  <si>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</si>
  <si>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</si>
  <si>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</si>
  <si>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</si>
  <si>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</si>
  <si>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</si>
  <si>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</si>
  <si>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</si>
  <si>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</si>
  <si>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</si>
  <si>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</si>
  <si>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</si>
  <si>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</si>
  <si>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</si>
  <si>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</si>
  <si>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</si>
  <si>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</si>
  <si>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</si>
  <si>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</si>
  <si>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</si>
  <si>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</si>
  <si>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</si>
  <si>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</si>
  <si>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</si>
  <si>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</si>
  <si>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</si>
  <si>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</si>
  <si>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</si>
  <si>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</si>
  <si>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</si>
  <si>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</si>
  <si>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</si>
  <si>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</si>
  <si>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</si>
  <si>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</si>
  <si>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</si>
  <si>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</si>
  <si>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</si>
  <si>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</si>
  <si>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</si>
  <si>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</si>
  <si>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</si>
  <si>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</si>
  <si>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</si>
  <si>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</si>
  <si>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</si>
  <si>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</si>
  <si>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</si>
  <si>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</si>
  <si>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</si>
  <si>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</si>
  <si>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</si>
  <si>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</si>
  <si>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</si>
  <si>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</si>
  <si>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</si>
  <si>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</si>
  <si>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</si>
  <si>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</si>
  <si>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</si>
  <si>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</si>
  <si>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</si>
  <si>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</si>
  <si>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</si>
  <si>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</si>
  <si>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</si>
  <si>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</si>
  <si>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</si>
  <si>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</si>
  <si>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</si>
  <si>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</si>
  <si>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</si>
  <si>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</si>
  <si>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</si>
  <si>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</si>
  <si>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</si>
  <si>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</si>
  <si>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</si>
  <si>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</si>
  <si>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</si>
  <si>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</si>
  <si>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</si>
  <si>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</si>
  <si>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</si>
  <si>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</si>
  <si>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</si>
  <si>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</si>
  <si>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</si>
  <si>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</si>
  <si>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</si>
  <si>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</si>
  <si>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</si>
  <si>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</si>
  <si>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</si>
  <si>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</si>
  <si>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</si>
  <si>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</si>
  <si>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</si>
  <si>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</si>
  <si>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</si>
  <si>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</si>
  <si>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</si>
  <si>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</si>
  <si>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</si>
  <si>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</si>
  <si>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</si>
  <si>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</si>
  <si>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</si>
  <si>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</si>
  <si>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</si>
  <si>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</si>
  <si>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</si>
  <si>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</si>
  <si>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</si>
  <si>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</si>
  <si>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</si>
  <si>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</si>
  <si>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</si>
  <si>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</si>
  <si>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</si>
  <si>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</si>
  <si>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</si>
  <si>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</si>
  <si>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</si>
  <si>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</si>
  <si>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</si>
  <si>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</si>
  <si>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</si>
  <si>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</si>
  <si>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</si>
  <si>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</si>
  <si>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</si>
  <si>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</si>
  <si>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</si>
  <si>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</si>
  <si>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</si>
  <si>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</si>
  <si>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</si>
  <si>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</si>
  <si>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</si>
  <si>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</si>
  <si>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</si>
  <si>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</si>
  <si>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</si>
  <si>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</si>
  <si>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</si>
  <si>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</si>
  <si>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</si>
  <si>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</si>
  <si>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</si>
  <si>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</si>
  <si>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</si>
  <si>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</si>
  <si>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</si>
  <si>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</si>
  <si>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</si>
  <si>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</si>
  <si>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</si>
  <si>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</si>
  <si>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</si>
  <si>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</si>
  <si>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</si>
  <si>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</si>
  <si>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</si>
  <si>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</si>
  <si>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</si>
  <si>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</si>
  <si>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</si>
  <si>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</si>
  <si>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</si>
  <si>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</si>
  <si>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</si>
  <si>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</si>
  <si>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</si>
  <si>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</si>
  <si>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</si>
  <si>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</si>
  <si>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</si>
  <si>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</si>
  <si>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</si>
  <si>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</si>
  <si>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</si>
  <si>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</si>
  <si>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</si>
  <si>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</si>
  <si>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</si>
  <si>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</si>
  <si>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</si>
  <si>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</si>
  <si>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</si>
  <si>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</si>
  <si>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</si>
  <si>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</si>
  <si>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</si>
  <si>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</si>
  <si>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</si>
  <si>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</si>
  <si>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</si>
  <si>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</si>
  <si>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</si>
  <si>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</si>
  <si>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XBOX GAME PASS SUBSCRPTION SALES</t>
  </si>
  <si>
    <t>Perguntade negócio 01: Qual o fatutamento Total de Vendas de planos anuais(contendo todas as assintauras agregadas)</t>
  </si>
  <si>
    <t xml:space="preserve">Perguntade negócio 02: Qual o fatutamento Total de Vendas de planos anuais, separando por autorenovação </t>
  </si>
  <si>
    <t>Pergunta de negócio 03: total de vendas por assinaturas do EA Play</t>
  </si>
  <si>
    <t>Soma de Minecraft Season Pass Price</t>
  </si>
  <si>
    <t>Soma de EA Play Season Pass</t>
  </si>
  <si>
    <t>Pergunta 4: Total de vendas de assinaturas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</si>
</sst>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_-"/>
    <numFmt numFmtId="169" formatCode="[$R$-416]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3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/>
    <xf numFmtId="169" fontId="0" fillId="0" borderId="0" xfId="2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 wrapText="1"/>
    </xf>
    <xf numFmtId="169" fontId="0" fillId="0" borderId="0" xfId="0" applyNumberFormat="1"/>
    <xf numFmtId="0" fontId="5" fillId="7" borderId="3" xfId="3" applyFont="1" applyFill="1" applyBorder="1"/>
    <xf numFmtId="0" fontId="4" fillId="7" borderId="3" xfId="3" applyFill="1" applyBorder="1"/>
    <xf numFmtId="0" fontId="0" fillId="7" borderId="0" xfId="0" applyFill="1" applyAlignment="1">
      <alignment horizontal="left"/>
    </xf>
    <xf numFmtId="164" fontId="0" fillId="7" borderId="0" xfId="0" applyNumberFormat="1" applyFill="1"/>
    <xf numFmtId="0" fontId="0" fillId="7" borderId="0" xfId="0" applyNumberFormat="1" applyFill="1"/>
    <xf numFmtId="164" fontId="0" fillId="0" borderId="0" xfId="2" applyFont="1"/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225">
    <dxf>
      <numFmt numFmtId="164" formatCode="_-&quot;R$&quot;\ * #,##0.00_-;\-&quot;R$&quot;\ * #,##0.00_-;_-&quot;R$&quot;\ * &quot;-&quot;??_-;_-@_-"/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numFmt numFmtId="164" formatCode="_-&quot;R$&quot;\ * #,##0.00_-;\-&quot;R$&quot;\ * #,##0.00_-;_-&quot;R$&quot;\ * &quot;-&quot;??_-;_-@_-"/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b/>
        <i val="0"/>
        <color theme="1"/>
      </font>
      <fill>
        <patternFill patternType="solid">
          <fgColor indexed="64"/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6 2" pivot="0" table="0" count="10" xr9:uid="{F9354699-9AF2-4F35-88A0-3A5A8433F69E}">
      <tableStyleElement type="wholeTable" dxfId="208"/>
      <tableStyleElement type="headerRow" dxfId="207"/>
    </tableStyle>
    <tableStyle name="SlicerStyleLight6 2 2" pivot="0" table="0" count="9" xr9:uid="{A41AF74D-B5F1-49F4-BC19-3EB03AF3EA52}">
      <tableStyleElement type="wholeTable" dxfId="210"/>
      <tableStyleElement type="headerRow" dxfId="209"/>
    </tableStyle>
  </tableStyles>
  <colors>
    <mruColors>
      <color rgb="FF22C55E"/>
      <color rgb="FF5BF6A8"/>
      <color rgb="FF042433"/>
      <color rgb="FFE8E6E9"/>
      <color rgb="FF2AE6B1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15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2 2">
          <x14:slicerStyleElements>
            <x14:slicerStyleElement type="unselectedItemWith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[base.xlsx]C̳álculos!Tabela dinâmica2</c:name>
    <c:fmtId val="5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solidFill>
              <a:schemeClr val="accent1">
                <a:alpha val="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solidFill>
                <a:schemeClr val="accent1">
                  <a:alpha val="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C̳álculos!$C$13:$C$15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C̳álculos!$D$13:$D$15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E-42A1-84BF-121CFA8BD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8897631"/>
        <c:axId val="1728898111"/>
      </c:barChart>
      <c:catAx>
        <c:axId val="1728897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8898111"/>
        <c:crosses val="autoZero"/>
        <c:auto val="1"/>
        <c:lblAlgn val="ctr"/>
        <c:lblOffset val="100"/>
        <c:noMultiLvlLbl val="0"/>
      </c:catAx>
      <c:valAx>
        <c:axId val="1728898111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1728897631"/>
        <c:crosses val="autoZero"/>
        <c:crossBetween val="between"/>
      </c:valAx>
      <c:spPr>
        <a:noFill/>
        <a:ln>
          <a:solidFill>
            <a:schemeClr val="accent1">
              <a:alpha val="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361949</xdr:colOff>
      <xdr:row>12</xdr:row>
      <xdr:rowOff>19049</xdr:rowOff>
    </xdr:from>
    <xdr:to>
      <xdr:col>12</xdr:col>
      <xdr:colOff>504824</xdr:colOff>
      <xdr:row>26</xdr:row>
      <xdr:rowOff>19050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0B8CC50D-65FC-5A79-CD80-F6095DFDE7AC}"/>
            </a:ext>
          </a:extLst>
        </xdr:cNvPr>
        <xdr:cNvSpPr/>
      </xdr:nvSpPr>
      <xdr:spPr>
        <a:xfrm>
          <a:off x="2781299" y="2352674"/>
          <a:ext cx="7534275" cy="2667001"/>
        </a:xfrm>
        <a:prstGeom prst="roundRect">
          <a:avLst>
            <a:gd name="adj" fmla="val 4167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95250</xdr:colOff>
      <xdr:row>0</xdr:row>
      <xdr:rowOff>171451</xdr:rowOff>
    </xdr:from>
    <xdr:to>
      <xdr:col>0</xdr:col>
      <xdr:colOff>1977707</xdr:colOff>
      <xdr:row>4</xdr:row>
      <xdr:rowOff>28576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040F195-57B8-45EB-93F8-44798412B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71451"/>
          <a:ext cx="1882457" cy="666750"/>
        </a:xfrm>
        <a:prstGeom prst="rect">
          <a:avLst/>
        </a:prstGeom>
      </xdr:spPr>
    </xdr:pic>
    <xdr:clientData/>
  </xdr:twoCellAnchor>
  <xdr:twoCellAnchor editAs="absolute">
    <xdr:from>
      <xdr:col>0</xdr:col>
      <xdr:colOff>142875</xdr:colOff>
      <xdr:row>6</xdr:row>
      <xdr:rowOff>9525</xdr:rowOff>
    </xdr:from>
    <xdr:to>
      <xdr:col>0</xdr:col>
      <xdr:colOff>1924050</xdr:colOff>
      <xdr:row>13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37EF055F-037D-F819-6285-EAE0B71D58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" y="1200150"/>
              <a:ext cx="1781175" cy="149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352425</xdr:colOff>
      <xdr:row>13</xdr:row>
      <xdr:rowOff>133349</xdr:rowOff>
    </xdr:from>
    <xdr:to>
      <xdr:col>12</xdr:col>
      <xdr:colOff>485775</xdr:colOff>
      <xdr:row>25</xdr:row>
      <xdr:rowOff>161924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486D2C-9F0C-4F07-8846-4B8DD6614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409575</xdr:colOff>
      <xdr:row>4</xdr:row>
      <xdr:rowOff>152400</xdr:rowOff>
    </xdr:from>
    <xdr:to>
      <xdr:col>6</xdr:col>
      <xdr:colOff>28575</xdr:colOff>
      <xdr:row>11</xdr:row>
      <xdr:rowOff>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F78F1D8F-8BED-39E0-64FB-C41880663CD5}"/>
            </a:ext>
          </a:extLst>
        </xdr:cNvPr>
        <xdr:cNvGrpSpPr/>
      </xdr:nvGrpSpPr>
      <xdr:grpSpPr>
        <a:xfrm>
          <a:off x="2962275" y="962025"/>
          <a:ext cx="3352800" cy="1181100"/>
          <a:chOff x="2828925" y="962025"/>
          <a:chExt cx="3352800" cy="1181100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DB2FC422-EA87-17E2-5387-DB6CA23CA342}"/>
              </a:ext>
            </a:extLst>
          </xdr:cNvPr>
          <xdr:cNvSpPr/>
        </xdr:nvSpPr>
        <xdr:spPr>
          <a:xfrm>
            <a:off x="2828925" y="962025"/>
            <a:ext cx="3352800" cy="1181100"/>
          </a:xfrm>
          <a:prstGeom prst="roundRect">
            <a:avLst>
              <a:gd name="adj" fmla="val 656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3600"/>
          </a:p>
        </xdr:txBody>
      </xdr:sp>
      <xdr:sp macro="" textlink="C̳álculos!E28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B771A621-8DE8-4830-9D99-D9FA1C7EF4C0}"/>
              </a:ext>
            </a:extLst>
          </xdr:cNvPr>
          <xdr:cNvSpPr/>
        </xdr:nvSpPr>
        <xdr:spPr>
          <a:xfrm>
            <a:off x="4210050" y="1390650"/>
            <a:ext cx="1824038" cy="533400"/>
          </a:xfrm>
          <a:prstGeom prst="roundRect">
            <a:avLst>
              <a:gd name="adj" fmla="val 6566"/>
            </a:avLst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3"/>
          </a:fontRef>
        </xdr:style>
        <xdr:txBody>
          <a:bodyPr vertOverflow="clip" horzOverflow="clip" rtlCol="0" anchor="ctr"/>
          <a:lstStyle/>
          <a:p>
            <a:pPr algn="ctr"/>
            <a:fld id="{2D68AAA6-5F0B-4118-B369-03AC796F4F20}" type="TxLink">
              <a:rPr lang="en-US" sz="2400" b="0" i="0" u="none" strike="noStrike">
                <a:solidFill>
                  <a:srgbClr val="22C55E"/>
                </a:solidFill>
                <a:effectLst/>
                <a:latin typeface="Aptos Narrow"/>
                <a:ea typeface="+mn-ea"/>
                <a:cs typeface="+mn-cs"/>
              </a:rPr>
              <a:pPr algn="ctr"/>
              <a:t> R$ 600.00 </a:t>
            </a:fld>
            <a:endParaRPr lang="pt-BR" sz="2400">
              <a:solidFill>
                <a:srgbClr val="22C55E"/>
              </a:solidFill>
              <a:effectLst/>
            </a:endParaRPr>
          </a:p>
        </xdr:txBody>
      </xdr:sp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AD0D4B5F-F709-2775-B260-822446020511}"/>
              </a:ext>
            </a:extLst>
          </xdr:cNvPr>
          <xdr:cNvSpPr/>
        </xdr:nvSpPr>
        <xdr:spPr>
          <a:xfrm>
            <a:off x="2828925" y="962025"/>
            <a:ext cx="3352800" cy="304800"/>
          </a:xfrm>
          <a:prstGeom prst="roundRect">
            <a:avLst>
              <a:gd name="adj" fmla="val 6566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de subscriptions EA PLAY EASON PAS</a:t>
            </a: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646DB73B-8EBD-4A75-9C2F-45B0D82763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24200" y="1152525"/>
            <a:ext cx="990600" cy="990600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85725</xdr:colOff>
      <xdr:row>4</xdr:row>
      <xdr:rowOff>161925</xdr:rowOff>
    </xdr:from>
    <xdr:to>
      <xdr:col>12</xdr:col>
      <xdr:colOff>390525</xdr:colOff>
      <xdr:row>11</xdr:row>
      <xdr:rowOff>9525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6F85627D-AA02-5A67-D38F-B3F11EC96AFC}"/>
            </a:ext>
          </a:extLst>
        </xdr:cNvPr>
        <xdr:cNvSpPr/>
      </xdr:nvSpPr>
      <xdr:spPr>
        <a:xfrm>
          <a:off x="6848475" y="971550"/>
          <a:ext cx="3352800" cy="1181100"/>
        </a:xfrm>
        <a:prstGeom prst="roundRect">
          <a:avLst>
            <a:gd name="adj" fmla="val 656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3600"/>
        </a:p>
      </xdr:txBody>
    </xdr:sp>
    <xdr:clientData/>
  </xdr:twoCellAnchor>
  <xdr:twoCellAnchor>
    <xdr:from>
      <xdr:col>9</xdr:col>
      <xdr:colOff>247650</xdr:colOff>
      <xdr:row>7</xdr:row>
      <xdr:rowOff>19050</xdr:rowOff>
    </xdr:from>
    <xdr:to>
      <xdr:col>12</xdr:col>
      <xdr:colOff>242888</xdr:colOff>
      <xdr:row>9</xdr:row>
      <xdr:rowOff>171450</xdr:rowOff>
    </xdr:to>
    <xdr:sp macro="" textlink="C̳álculos!E44">
      <xdr:nvSpPr>
        <xdr:cNvPr id="20" name="Retângulo: Cantos Arredondados 19">
          <a:extLst>
            <a:ext uri="{FF2B5EF4-FFF2-40B4-BE49-F238E27FC236}">
              <a16:creationId xmlns:a16="http://schemas.microsoft.com/office/drawing/2014/main" id="{335921ED-8D55-1939-C8D5-4EE37294196F}"/>
            </a:ext>
          </a:extLst>
        </xdr:cNvPr>
        <xdr:cNvSpPr/>
      </xdr:nvSpPr>
      <xdr:spPr>
        <a:xfrm>
          <a:off x="8229600" y="1400175"/>
          <a:ext cx="1824038" cy="533400"/>
        </a:xfrm>
        <a:prstGeom prst="roundRect">
          <a:avLst>
            <a:gd name="adj" fmla="val 6566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fld id="{191961A2-BE71-43CA-BC9B-F112FD3A228D}" type="TxLink">
            <a:rPr lang="en-US" sz="2400" b="0" i="0" u="none" strike="noStrike">
              <a:solidFill>
                <a:srgbClr val="22C55E"/>
              </a:solidFill>
              <a:effectLst/>
              <a:latin typeface="Aptos Narrow"/>
            </a:rPr>
            <a:t> R$ 940.00 </a:t>
          </a:fld>
          <a:endParaRPr lang="en-US" sz="4800" b="0" i="0" u="none" strike="noStrike">
            <a:solidFill>
              <a:srgbClr val="22C55E"/>
            </a:solidFill>
            <a:effectLst/>
            <a:latin typeface="Aptos Narrow"/>
          </a:endParaRPr>
        </a:p>
      </xdr:txBody>
    </xdr:sp>
    <xdr:clientData/>
  </xdr:twoCellAnchor>
  <xdr:twoCellAnchor>
    <xdr:from>
      <xdr:col>7</xdr:col>
      <xdr:colOff>85725</xdr:colOff>
      <xdr:row>4</xdr:row>
      <xdr:rowOff>161925</xdr:rowOff>
    </xdr:from>
    <xdr:to>
      <xdr:col>12</xdr:col>
      <xdr:colOff>390525</xdr:colOff>
      <xdr:row>6</xdr:row>
      <xdr:rowOff>85725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24A53022-0542-D5F0-116B-D3808244B7B8}"/>
            </a:ext>
          </a:extLst>
        </xdr:cNvPr>
        <xdr:cNvSpPr/>
      </xdr:nvSpPr>
      <xdr:spPr>
        <a:xfrm>
          <a:off x="6848475" y="971550"/>
          <a:ext cx="3352800" cy="304800"/>
        </a:xfrm>
        <a:prstGeom prst="roundRect">
          <a:avLst>
            <a:gd name="adj" fmla="val 6566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Total de subscriptions EA PLAY SEASON PAS</a:t>
          </a:r>
        </a:p>
      </xdr:txBody>
    </xdr:sp>
    <xdr:clientData/>
  </xdr:twoCellAnchor>
  <xdr:twoCellAnchor editAs="absolute">
    <xdr:from>
      <xdr:col>7</xdr:col>
      <xdr:colOff>485775</xdr:colOff>
      <xdr:row>7</xdr:row>
      <xdr:rowOff>0</xdr:rowOff>
    </xdr:from>
    <xdr:to>
      <xdr:col>9</xdr:col>
      <xdr:colOff>38100</xdr:colOff>
      <xdr:row>9</xdr:row>
      <xdr:rowOff>114300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590ADD1C-F688-422C-8ABE-38905AB3B97A}"/>
            </a:ext>
          </a:extLst>
        </xdr:cNvPr>
        <xdr:cNvGrpSpPr/>
      </xdr:nvGrpSpPr>
      <xdr:grpSpPr>
        <a:xfrm>
          <a:off x="7381875" y="1381125"/>
          <a:ext cx="771525" cy="495300"/>
          <a:chOff x="3495675" y="5400674"/>
          <a:chExt cx="1549476" cy="752476"/>
        </a:xfrm>
      </xdr:grpSpPr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731F0DB8-D3A4-3F43-CC8D-8FF256D1A9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5" name="Gráfico 24">
            <a:extLst>
              <a:ext uri="{FF2B5EF4-FFF2-40B4-BE49-F238E27FC236}">
                <a16:creationId xmlns:a16="http://schemas.microsoft.com/office/drawing/2014/main" id="{E0B34D08-C1CF-68C5-D864-6266493CF4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352604</xdr:colOff>
      <xdr:row>11</xdr:row>
      <xdr:rowOff>180975</xdr:rowOff>
    </xdr:from>
    <xdr:to>
      <xdr:col>12</xdr:col>
      <xdr:colOff>499973</xdr:colOff>
      <xdr:row>13</xdr:row>
      <xdr:rowOff>135255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F878E2E2-CE73-4461-A50E-897EA1101E6A}"/>
            </a:ext>
          </a:extLst>
        </xdr:cNvPr>
        <xdr:cNvSpPr/>
      </xdr:nvSpPr>
      <xdr:spPr>
        <a:xfrm>
          <a:off x="2771954" y="2324100"/>
          <a:ext cx="7538769" cy="335280"/>
        </a:xfrm>
        <a:prstGeom prst="roundRect">
          <a:avLst>
            <a:gd name="adj" fmla="val 4167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Total de Subscriptions EA PLAY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SEASSON PASS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deilson ferreira" refreshedDate="46053.562390393519" createdVersion="8" refreshedVersion="8" minRefreshableVersion="3" recordCount="295" xr:uid="{EA6E3FFA-7E5F-4B57-A1C6-DF60A5B48D8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0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0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0">
      <sharedItems containsSemiMixedTypes="0" containsString="0" containsNumber="1" containsInteger="1" minValue="0" maxValue="20"/>
    </cacheField>
    <cacheField name="Coupon Value" numFmtId="0">
      <sharedItems containsSemiMixedTypes="0" containsString="0" containsNumber="1" containsInteger="1" minValue="0" maxValue="20"/>
    </cacheField>
    <cacheField name="Total Value" numFmtId="0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639562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x v="0"/>
    <s v="Yes"/>
    <n v="20"/>
    <n v="5"/>
    <n v="60"/>
  </r>
  <r>
    <n v="3232"/>
    <s v="Maria Oliveira"/>
    <x v="1"/>
    <x v="1"/>
    <x v="1"/>
    <n v="5"/>
    <x v="1"/>
    <x v="1"/>
    <x v="1"/>
    <s v="No"/>
    <n v="0"/>
    <n v="0"/>
    <n v="5"/>
  </r>
  <r>
    <n v="3233"/>
    <s v="Lucas Fernandes"/>
    <x v="2"/>
    <x v="2"/>
    <x v="0"/>
    <n v="10"/>
    <x v="2"/>
    <x v="1"/>
    <x v="1"/>
    <s v="Yes"/>
    <n v="20"/>
    <n v="10"/>
    <n v="20"/>
  </r>
  <r>
    <n v="3234"/>
    <s v="Ana Souza"/>
    <x v="0"/>
    <x v="3"/>
    <x v="1"/>
    <n v="15"/>
    <x v="0"/>
    <x v="0"/>
    <x v="0"/>
    <s v="Yes"/>
    <n v="20"/>
    <n v="3"/>
    <n v="62"/>
  </r>
  <r>
    <n v="3235"/>
    <s v="Pedro Gonçalves"/>
    <x v="1"/>
    <x v="4"/>
    <x v="0"/>
    <n v="5"/>
    <x v="0"/>
    <x v="1"/>
    <x v="1"/>
    <s v="No"/>
    <n v="0"/>
    <n v="1"/>
    <n v="4"/>
  </r>
  <r>
    <n v="3236"/>
    <s v="Felipe Costa"/>
    <x v="2"/>
    <x v="5"/>
    <x v="1"/>
    <n v="10"/>
    <x v="0"/>
    <x v="1"/>
    <x v="1"/>
    <s v="Yes"/>
    <n v="20"/>
    <n v="2"/>
    <n v="28"/>
  </r>
  <r>
    <n v="3237"/>
    <s v="Camila Ribeiro"/>
    <x v="0"/>
    <x v="6"/>
    <x v="0"/>
    <n v="15"/>
    <x v="2"/>
    <x v="0"/>
    <x v="0"/>
    <s v="Yes"/>
    <n v="20"/>
    <n v="10"/>
    <n v="55"/>
  </r>
  <r>
    <n v="3238"/>
    <s v="André Mendes"/>
    <x v="1"/>
    <x v="7"/>
    <x v="0"/>
    <n v="5"/>
    <x v="1"/>
    <x v="1"/>
    <x v="1"/>
    <s v="No"/>
    <n v="0"/>
    <n v="0"/>
    <n v="5"/>
  </r>
  <r>
    <n v="3239"/>
    <s v="Sofia Almeida"/>
    <x v="0"/>
    <x v="4"/>
    <x v="1"/>
    <n v="15"/>
    <x v="0"/>
    <x v="0"/>
    <x v="0"/>
    <s v="Yes"/>
    <n v="20"/>
    <n v="5"/>
    <n v="60"/>
  </r>
  <r>
    <n v="3240"/>
    <s v="Bruno Martins"/>
    <x v="2"/>
    <x v="8"/>
    <x v="0"/>
    <n v="10"/>
    <x v="2"/>
    <x v="1"/>
    <x v="1"/>
    <s v="Yes"/>
    <n v="20"/>
    <n v="15"/>
    <n v="15"/>
  </r>
  <r>
    <n v="3241"/>
    <s v="Rita Castro"/>
    <x v="1"/>
    <x v="9"/>
    <x v="1"/>
    <n v="5"/>
    <x v="0"/>
    <x v="1"/>
    <x v="1"/>
    <s v="No"/>
    <n v="0"/>
    <n v="1"/>
    <n v="4"/>
  </r>
  <r>
    <n v="3242"/>
    <s v="Marco Túlio"/>
    <x v="0"/>
    <x v="10"/>
    <x v="0"/>
    <n v="15"/>
    <x v="1"/>
    <x v="0"/>
    <x v="0"/>
    <s v="Yes"/>
    <n v="20"/>
    <n v="20"/>
    <n v="45"/>
  </r>
  <r>
    <n v="3243"/>
    <s v="Lívia Silveira"/>
    <x v="2"/>
    <x v="11"/>
    <x v="1"/>
    <n v="10"/>
    <x v="0"/>
    <x v="1"/>
    <x v="1"/>
    <s v="Yes"/>
    <n v="20"/>
    <n v="10"/>
    <n v="20"/>
  </r>
  <r>
    <n v="3244"/>
    <s v="Diogo Sousa"/>
    <x v="1"/>
    <x v="12"/>
    <x v="0"/>
    <n v="5"/>
    <x v="2"/>
    <x v="1"/>
    <x v="1"/>
    <s v="No"/>
    <n v="0"/>
    <n v="0"/>
    <n v="5"/>
  </r>
  <r>
    <n v="3245"/>
    <s v="Fernanda Lima"/>
    <x v="0"/>
    <x v="13"/>
    <x v="1"/>
    <n v="15"/>
    <x v="0"/>
    <x v="0"/>
    <x v="0"/>
    <s v="Yes"/>
    <n v="20"/>
    <n v="8"/>
    <n v="57"/>
  </r>
  <r>
    <n v="3246"/>
    <s v="Caio Pereira"/>
    <x v="2"/>
    <x v="14"/>
    <x v="0"/>
    <n v="10"/>
    <x v="1"/>
    <x v="1"/>
    <x v="1"/>
    <s v="Yes"/>
    <n v="20"/>
    <n v="12"/>
    <n v="18"/>
  </r>
  <r>
    <n v="3247"/>
    <s v="Beatriz Gomes"/>
    <x v="1"/>
    <x v="15"/>
    <x v="1"/>
    <n v="5"/>
    <x v="0"/>
    <x v="1"/>
    <x v="1"/>
    <s v="No"/>
    <n v="0"/>
    <n v="2"/>
    <n v="3"/>
  </r>
  <r>
    <n v="3248"/>
    <s v="Cesar Oliveira"/>
    <x v="0"/>
    <x v="16"/>
    <x v="0"/>
    <n v="15"/>
    <x v="2"/>
    <x v="0"/>
    <x v="0"/>
    <s v="Yes"/>
    <n v="20"/>
    <n v="7"/>
    <n v="58"/>
  </r>
  <r>
    <n v="3249"/>
    <s v="Débora Machado"/>
    <x v="2"/>
    <x v="17"/>
    <x v="1"/>
    <n v="10"/>
    <x v="0"/>
    <x v="1"/>
    <x v="1"/>
    <s v="Yes"/>
    <n v="20"/>
    <n v="5"/>
    <n v="25"/>
  </r>
  <r>
    <n v="3250"/>
    <s v="Eduardo Vargas"/>
    <x v="1"/>
    <x v="18"/>
    <x v="0"/>
    <n v="5"/>
    <x v="1"/>
    <x v="1"/>
    <x v="1"/>
    <s v="No"/>
    <n v="0"/>
    <n v="0"/>
    <n v="5"/>
  </r>
  <r>
    <n v="3251"/>
    <s v="Gabriela Santos"/>
    <x v="0"/>
    <x v="19"/>
    <x v="1"/>
    <n v="15"/>
    <x v="0"/>
    <x v="0"/>
    <x v="0"/>
    <s v="Yes"/>
    <n v="20"/>
    <n v="3"/>
    <n v="62"/>
  </r>
  <r>
    <n v="3252"/>
    <s v="Henrique Dias"/>
    <x v="2"/>
    <x v="20"/>
    <x v="0"/>
    <n v="10"/>
    <x v="2"/>
    <x v="1"/>
    <x v="1"/>
    <s v="Yes"/>
    <n v="20"/>
    <n v="15"/>
    <n v="15"/>
  </r>
  <r>
    <n v="3253"/>
    <s v="Isabela Moreira"/>
    <x v="1"/>
    <x v="21"/>
    <x v="1"/>
    <n v="5"/>
    <x v="0"/>
    <x v="1"/>
    <x v="1"/>
    <s v="No"/>
    <n v="0"/>
    <n v="1"/>
    <n v="4"/>
  </r>
  <r>
    <n v="3254"/>
    <s v="Joaquim Barbosa"/>
    <x v="0"/>
    <x v="22"/>
    <x v="0"/>
    <n v="15"/>
    <x v="1"/>
    <x v="0"/>
    <x v="0"/>
    <s v="Yes"/>
    <n v="20"/>
    <n v="20"/>
    <n v="45"/>
  </r>
  <r>
    <n v="3255"/>
    <s v="Lara Rocha"/>
    <x v="2"/>
    <x v="23"/>
    <x v="1"/>
    <n v="10"/>
    <x v="0"/>
    <x v="1"/>
    <x v="1"/>
    <s v="Yes"/>
    <n v="20"/>
    <n v="10"/>
    <n v="20"/>
  </r>
  <r>
    <n v="3256"/>
    <s v="Matheus Silva"/>
    <x v="1"/>
    <x v="24"/>
    <x v="0"/>
    <n v="5"/>
    <x v="2"/>
    <x v="1"/>
    <x v="1"/>
    <s v="No"/>
    <n v="0"/>
    <n v="0"/>
    <n v="5"/>
  </r>
  <r>
    <n v="3257"/>
    <s v="Nicole Costa"/>
    <x v="0"/>
    <x v="25"/>
    <x v="1"/>
    <n v="15"/>
    <x v="0"/>
    <x v="0"/>
    <x v="0"/>
    <s v="Yes"/>
    <n v="20"/>
    <n v="5"/>
    <n v="60"/>
  </r>
  <r>
    <n v="3258"/>
    <s v="Otávio Mendonça"/>
    <x v="2"/>
    <x v="26"/>
    <x v="0"/>
    <n v="10"/>
    <x v="1"/>
    <x v="1"/>
    <x v="1"/>
    <s v="Yes"/>
    <n v="20"/>
    <n v="15"/>
    <n v="15"/>
  </r>
  <r>
    <n v="3259"/>
    <s v="Paula Ferreira"/>
    <x v="1"/>
    <x v="27"/>
    <x v="1"/>
    <n v="5"/>
    <x v="0"/>
    <x v="1"/>
    <x v="1"/>
    <s v="No"/>
    <n v="0"/>
    <n v="1"/>
    <n v="4"/>
  </r>
  <r>
    <n v="3260"/>
    <s v="Raquel Alves"/>
    <x v="0"/>
    <x v="28"/>
    <x v="0"/>
    <n v="15"/>
    <x v="2"/>
    <x v="0"/>
    <x v="0"/>
    <s v="Yes"/>
    <n v="20"/>
    <n v="7"/>
    <n v="58"/>
  </r>
  <r>
    <n v="3261"/>
    <s v="Samuel Pires"/>
    <x v="2"/>
    <x v="29"/>
    <x v="1"/>
    <n v="10"/>
    <x v="0"/>
    <x v="1"/>
    <x v="1"/>
    <s v="Yes"/>
    <n v="20"/>
    <n v="10"/>
    <n v="20"/>
  </r>
  <r>
    <n v="3262"/>
    <s v="Tânia Barros"/>
    <x v="1"/>
    <x v="30"/>
    <x v="0"/>
    <n v="5"/>
    <x v="1"/>
    <x v="1"/>
    <x v="1"/>
    <s v="No"/>
    <n v="0"/>
    <n v="0"/>
    <n v="5"/>
  </r>
  <r>
    <n v="3263"/>
    <s v="Vinicius Lima"/>
    <x v="0"/>
    <x v="31"/>
    <x v="1"/>
    <n v="15"/>
    <x v="0"/>
    <x v="0"/>
    <x v="0"/>
    <s v="Yes"/>
    <n v="20"/>
    <n v="3"/>
    <n v="62"/>
  </r>
  <r>
    <n v="3264"/>
    <s v="Yasmin Teixeira"/>
    <x v="2"/>
    <x v="32"/>
    <x v="0"/>
    <n v="10"/>
    <x v="2"/>
    <x v="1"/>
    <x v="1"/>
    <s v="Yes"/>
    <n v="20"/>
    <n v="15"/>
    <n v="15"/>
  </r>
  <r>
    <n v="3265"/>
    <s v="Zé Carlos"/>
    <x v="1"/>
    <x v="33"/>
    <x v="1"/>
    <n v="5"/>
    <x v="0"/>
    <x v="1"/>
    <x v="1"/>
    <s v="No"/>
    <n v="0"/>
    <n v="1"/>
    <n v="4"/>
  </r>
  <r>
    <n v="3266"/>
    <s v="Amanda Nogueira"/>
    <x v="1"/>
    <x v="34"/>
    <x v="0"/>
    <n v="5"/>
    <x v="0"/>
    <x v="1"/>
    <x v="1"/>
    <s v="No"/>
    <n v="0"/>
    <n v="0"/>
    <n v="5"/>
  </r>
  <r>
    <n v="3267"/>
    <s v="Bruno Cavalheiro"/>
    <x v="0"/>
    <x v="35"/>
    <x v="1"/>
    <n v="15"/>
    <x v="2"/>
    <x v="0"/>
    <x v="0"/>
    <s v="Yes"/>
    <n v="20"/>
    <n v="7"/>
    <n v="58"/>
  </r>
  <r>
    <n v="3268"/>
    <s v="Carla Dias"/>
    <x v="2"/>
    <x v="36"/>
    <x v="0"/>
    <n v="10"/>
    <x v="1"/>
    <x v="1"/>
    <x v="1"/>
    <s v="Yes"/>
    <n v="20"/>
    <n v="10"/>
    <n v="20"/>
  </r>
  <r>
    <n v="3269"/>
    <s v="Diego Fontes"/>
    <x v="1"/>
    <x v="37"/>
    <x v="1"/>
    <n v="5"/>
    <x v="2"/>
    <x v="1"/>
    <x v="1"/>
    <s v="No"/>
    <n v="0"/>
    <n v="1"/>
    <n v="4"/>
  </r>
  <r>
    <n v="3270"/>
    <s v="Eunice Lima"/>
    <x v="0"/>
    <x v="38"/>
    <x v="0"/>
    <n v="15"/>
    <x v="0"/>
    <x v="0"/>
    <x v="0"/>
    <s v="Yes"/>
    <n v="20"/>
    <n v="15"/>
    <n v="50"/>
  </r>
  <r>
    <n v="3271"/>
    <s v="Fábio Martins"/>
    <x v="2"/>
    <x v="39"/>
    <x v="1"/>
    <n v="10"/>
    <x v="0"/>
    <x v="1"/>
    <x v="1"/>
    <s v="Yes"/>
    <n v="20"/>
    <n v="5"/>
    <n v="25"/>
  </r>
  <r>
    <n v="3272"/>
    <s v="Gisele Araújo"/>
    <x v="1"/>
    <x v="40"/>
    <x v="0"/>
    <n v="5"/>
    <x v="1"/>
    <x v="1"/>
    <x v="1"/>
    <s v="No"/>
    <n v="0"/>
    <n v="0"/>
    <n v="5"/>
  </r>
  <r>
    <n v="3273"/>
    <s v="Hélio Castro"/>
    <x v="0"/>
    <x v="41"/>
    <x v="1"/>
    <n v="15"/>
    <x v="2"/>
    <x v="0"/>
    <x v="0"/>
    <s v="Yes"/>
    <n v="20"/>
    <n v="20"/>
    <n v="45"/>
  </r>
  <r>
    <n v="3274"/>
    <s v="Ingrid Menezes"/>
    <x v="2"/>
    <x v="42"/>
    <x v="0"/>
    <n v="10"/>
    <x v="2"/>
    <x v="1"/>
    <x v="1"/>
    <s v="Yes"/>
    <n v="20"/>
    <n v="12"/>
    <n v="18"/>
  </r>
  <r>
    <n v="3275"/>
    <s v="Jorge Baptista"/>
    <x v="1"/>
    <x v="43"/>
    <x v="1"/>
    <n v="5"/>
    <x v="0"/>
    <x v="1"/>
    <x v="1"/>
    <s v="No"/>
    <n v="0"/>
    <n v="2"/>
    <n v="3"/>
  </r>
  <r>
    <n v="3276"/>
    <s v="Kléber Oliveira"/>
    <x v="0"/>
    <x v="44"/>
    <x v="0"/>
    <n v="15"/>
    <x v="1"/>
    <x v="0"/>
    <x v="0"/>
    <s v="Yes"/>
    <n v="20"/>
    <n v="5"/>
    <n v="60"/>
  </r>
  <r>
    <n v="3277"/>
    <s v="Luciana Freitas"/>
    <x v="2"/>
    <x v="45"/>
    <x v="1"/>
    <n v="10"/>
    <x v="0"/>
    <x v="1"/>
    <x v="1"/>
    <s v="Yes"/>
    <n v="20"/>
    <n v="10"/>
    <n v="20"/>
  </r>
  <r>
    <n v="3278"/>
    <s v="Márcia Eller"/>
    <x v="1"/>
    <x v="46"/>
    <x v="0"/>
    <n v="5"/>
    <x v="2"/>
    <x v="1"/>
    <x v="1"/>
    <s v="No"/>
    <n v="0"/>
    <n v="0"/>
    <n v="5"/>
  </r>
  <r>
    <n v="3279"/>
    <s v="Nilo Peçanha"/>
    <x v="0"/>
    <x v="47"/>
    <x v="1"/>
    <n v="15"/>
    <x v="0"/>
    <x v="0"/>
    <x v="0"/>
    <s v="Yes"/>
    <n v="20"/>
    <n v="3"/>
    <n v="62"/>
  </r>
  <r>
    <n v="3280"/>
    <s v="Oscar Neves"/>
    <x v="2"/>
    <x v="48"/>
    <x v="0"/>
    <n v="10"/>
    <x v="1"/>
    <x v="1"/>
    <x v="1"/>
    <s v="Yes"/>
    <n v="20"/>
    <n v="15"/>
    <n v="15"/>
  </r>
  <r>
    <n v="3281"/>
    <s v="Patrícia Soares"/>
    <x v="1"/>
    <x v="49"/>
    <x v="1"/>
    <n v="5"/>
    <x v="0"/>
    <x v="1"/>
    <x v="1"/>
    <s v="No"/>
    <n v="0"/>
    <n v="1"/>
    <n v="4"/>
  </r>
  <r>
    <n v="3282"/>
    <s v="Quirino Gonçalves"/>
    <x v="0"/>
    <x v="50"/>
    <x v="0"/>
    <n v="15"/>
    <x v="2"/>
    <x v="0"/>
    <x v="0"/>
    <s v="Yes"/>
    <n v="20"/>
    <n v="7"/>
    <n v="58"/>
  </r>
  <r>
    <n v="3283"/>
    <s v="Raul Machado"/>
    <x v="2"/>
    <x v="51"/>
    <x v="1"/>
    <n v="10"/>
    <x v="0"/>
    <x v="1"/>
    <x v="1"/>
    <s v="Yes"/>
    <n v="20"/>
    <n v="10"/>
    <n v="20"/>
  </r>
  <r>
    <n v="3284"/>
    <s v="Sônia Lobo"/>
    <x v="1"/>
    <x v="52"/>
    <x v="0"/>
    <n v="5"/>
    <x v="1"/>
    <x v="1"/>
    <x v="1"/>
    <s v="No"/>
    <n v="0"/>
    <n v="0"/>
    <n v="5"/>
  </r>
  <r>
    <n v="3285"/>
    <s v="Tiago Ramos"/>
    <x v="0"/>
    <x v="53"/>
    <x v="1"/>
    <n v="15"/>
    <x v="0"/>
    <x v="0"/>
    <x v="0"/>
    <s v="Yes"/>
    <n v="20"/>
    <n v="20"/>
    <n v="45"/>
  </r>
  <r>
    <n v="3286"/>
    <s v="Ugo Pires"/>
    <x v="2"/>
    <x v="54"/>
    <x v="0"/>
    <n v="10"/>
    <x v="2"/>
    <x v="1"/>
    <x v="1"/>
    <s v="Yes"/>
    <n v="20"/>
    <n v="15"/>
    <n v="15"/>
  </r>
  <r>
    <n v="3287"/>
    <s v="Valéria Nobre"/>
    <x v="1"/>
    <x v="55"/>
    <x v="1"/>
    <n v="5"/>
    <x v="0"/>
    <x v="1"/>
    <x v="1"/>
    <s v="No"/>
    <n v="0"/>
    <n v="1"/>
    <n v="4"/>
  </r>
  <r>
    <n v="3288"/>
    <s v="William Siqueira"/>
    <x v="0"/>
    <x v="56"/>
    <x v="0"/>
    <n v="15"/>
    <x v="1"/>
    <x v="0"/>
    <x v="0"/>
    <s v="Yes"/>
    <n v="20"/>
    <n v="3"/>
    <n v="62"/>
  </r>
  <r>
    <n v="3289"/>
    <s v="Xuxa Meneghel"/>
    <x v="2"/>
    <x v="57"/>
    <x v="1"/>
    <n v="10"/>
    <x v="0"/>
    <x v="1"/>
    <x v="1"/>
    <s v="Yes"/>
    <n v="20"/>
    <n v="10"/>
    <n v="20"/>
  </r>
  <r>
    <n v="3290"/>
    <s v="Yara Figueiredo"/>
    <x v="1"/>
    <x v="58"/>
    <x v="0"/>
    <n v="5"/>
    <x v="2"/>
    <x v="1"/>
    <x v="1"/>
    <s v="No"/>
    <n v="0"/>
    <n v="0"/>
    <n v="5"/>
  </r>
  <r>
    <n v="3291"/>
    <s v="Zacarias Alves"/>
    <x v="0"/>
    <x v="59"/>
    <x v="1"/>
    <n v="15"/>
    <x v="0"/>
    <x v="0"/>
    <x v="0"/>
    <s v="Yes"/>
    <n v="20"/>
    <n v="5"/>
    <n v="60"/>
  </r>
  <r>
    <n v="3292"/>
    <s v="Amanda Bynes"/>
    <x v="2"/>
    <x v="60"/>
    <x v="0"/>
    <n v="10"/>
    <x v="1"/>
    <x v="1"/>
    <x v="1"/>
    <s v="Yes"/>
    <n v="20"/>
    <n v="15"/>
    <n v="15"/>
  </r>
  <r>
    <n v="3293"/>
    <s v="Bruno Mars"/>
    <x v="1"/>
    <x v="61"/>
    <x v="1"/>
    <n v="5"/>
    <x v="0"/>
    <x v="1"/>
    <x v="1"/>
    <s v="No"/>
    <n v="0"/>
    <n v="1"/>
    <n v="4"/>
  </r>
  <r>
    <n v="3294"/>
    <s v="Carla Bruni"/>
    <x v="0"/>
    <x v="62"/>
    <x v="0"/>
    <n v="15"/>
    <x v="2"/>
    <x v="0"/>
    <x v="0"/>
    <s v="Yes"/>
    <n v="20"/>
    <n v="20"/>
    <n v="45"/>
  </r>
  <r>
    <n v="3295"/>
    <s v="Diego Maradona"/>
    <x v="2"/>
    <x v="63"/>
    <x v="1"/>
    <n v="10"/>
    <x v="0"/>
    <x v="1"/>
    <x v="1"/>
    <s v="Yes"/>
    <n v="20"/>
    <n v="5"/>
    <n v="25"/>
  </r>
  <r>
    <n v="3296"/>
    <s v="Estela Marques"/>
    <x v="1"/>
    <x v="64"/>
    <x v="1"/>
    <n v="5"/>
    <x v="0"/>
    <x v="1"/>
    <x v="1"/>
    <s v="No"/>
    <n v="0"/>
    <n v="0"/>
    <n v="5"/>
  </r>
  <r>
    <n v="3297"/>
    <s v="Fábio Nobre"/>
    <x v="0"/>
    <x v="65"/>
    <x v="0"/>
    <n v="15"/>
    <x v="2"/>
    <x v="0"/>
    <x v="0"/>
    <s v="Yes"/>
    <n v="20"/>
    <n v="7"/>
    <n v="58"/>
  </r>
  <r>
    <n v="3298"/>
    <s v="Gabriel Oliveira"/>
    <x v="2"/>
    <x v="66"/>
    <x v="1"/>
    <n v="10"/>
    <x v="1"/>
    <x v="1"/>
    <x v="1"/>
    <s v="Yes"/>
    <n v="20"/>
    <n v="10"/>
    <n v="20"/>
  </r>
  <r>
    <n v="3299"/>
    <s v="Helena Santos"/>
    <x v="1"/>
    <x v="67"/>
    <x v="0"/>
    <n v="5"/>
    <x v="2"/>
    <x v="1"/>
    <x v="1"/>
    <s v="No"/>
    <n v="0"/>
    <n v="1"/>
    <n v="4"/>
  </r>
  <r>
    <n v="3300"/>
    <s v="Ivan Carvalho"/>
    <x v="0"/>
    <x v="68"/>
    <x v="1"/>
    <n v="15"/>
    <x v="0"/>
    <x v="0"/>
    <x v="0"/>
    <s v="Yes"/>
    <n v="20"/>
    <n v="15"/>
    <n v="50"/>
  </r>
  <r>
    <n v="3301"/>
    <s v="Júlia Ferreira"/>
    <x v="2"/>
    <x v="69"/>
    <x v="0"/>
    <n v="10"/>
    <x v="0"/>
    <x v="1"/>
    <x v="1"/>
    <s v="Yes"/>
    <n v="20"/>
    <n v="5"/>
    <n v="25"/>
  </r>
  <r>
    <n v="3302"/>
    <s v="Karla Alves"/>
    <x v="1"/>
    <x v="70"/>
    <x v="1"/>
    <n v="5"/>
    <x v="1"/>
    <x v="1"/>
    <x v="1"/>
    <s v="No"/>
    <n v="0"/>
    <n v="0"/>
    <n v="5"/>
  </r>
  <r>
    <n v="3303"/>
    <s v="Lucas Mendes"/>
    <x v="0"/>
    <x v="71"/>
    <x v="0"/>
    <n v="15"/>
    <x v="2"/>
    <x v="0"/>
    <x v="0"/>
    <s v="Yes"/>
    <n v="20"/>
    <n v="20"/>
    <n v="45"/>
  </r>
  <r>
    <n v="3304"/>
    <s v="Mônica Gomes"/>
    <x v="2"/>
    <x v="72"/>
    <x v="1"/>
    <n v="10"/>
    <x v="2"/>
    <x v="1"/>
    <x v="1"/>
    <s v="Yes"/>
    <n v="20"/>
    <n v="12"/>
    <n v="18"/>
  </r>
  <r>
    <n v="3305"/>
    <s v="Norberto Queiroz"/>
    <x v="1"/>
    <x v="73"/>
    <x v="0"/>
    <n v="5"/>
    <x v="0"/>
    <x v="1"/>
    <x v="1"/>
    <s v="No"/>
    <n v="0"/>
    <n v="2"/>
    <n v="3"/>
  </r>
  <r>
    <n v="3306"/>
    <s v="Otávio Barros"/>
    <x v="0"/>
    <x v="74"/>
    <x v="1"/>
    <n v="15"/>
    <x v="1"/>
    <x v="0"/>
    <x v="0"/>
    <s v="Yes"/>
    <n v="20"/>
    <n v="5"/>
    <n v="60"/>
  </r>
  <r>
    <n v="3307"/>
    <s v="Paula Vieira"/>
    <x v="2"/>
    <x v="75"/>
    <x v="0"/>
    <n v="10"/>
    <x v="0"/>
    <x v="1"/>
    <x v="1"/>
    <s v="Yes"/>
    <n v="20"/>
    <n v="10"/>
    <n v="20"/>
  </r>
  <r>
    <n v="3308"/>
    <s v="Quentin Ramos"/>
    <x v="1"/>
    <x v="76"/>
    <x v="1"/>
    <n v="5"/>
    <x v="2"/>
    <x v="1"/>
    <x v="1"/>
    <s v="No"/>
    <n v="0"/>
    <n v="0"/>
    <n v="5"/>
  </r>
  <r>
    <n v="3309"/>
    <s v="Raquel Novaes"/>
    <x v="0"/>
    <x v="77"/>
    <x v="0"/>
    <n v="15"/>
    <x v="0"/>
    <x v="0"/>
    <x v="0"/>
    <s v="Yes"/>
    <n v="20"/>
    <n v="3"/>
    <n v="62"/>
  </r>
  <r>
    <n v="3310"/>
    <s v="Samantha Lopes"/>
    <x v="2"/>
    <x v="78"/>
    <x v="1"/>
    <n v="10"/>
    <x v="1"/>
    <x v="1"/>
    <x v="1"/>
    <s v="Yes"/>
    <n v="20"/>
    <n v="15"/>
    <n v="15"/>
  </r>
  <r>
    <n v="3311"/>
    <s v="Tiago Martins"/>
    <x v="1"/>
    <x v="79"/>
    <x v="0"/>
    <n v="5"/>
    <x v="0"/>
    <x v="1"/>
    <x v="1"/>
    <s v="No"/>
    <n v="0"/>
    <n v="1"/>
    <n v="4"/>
  </r>
  <r>
    <n v="3312"/>
    <s v="Ulysses Guimarães"/>
    <x v="0"/>
    <x v="80"/>
    <x v="1"/>
    <n v="15"/>
    <x v="2"/>
    <x v="0"/>
    <x v="0"/>
    <s v="Yes"/>
    <n v="20"/>
    <n v="7"/>
    <n v="58"/>
  </r>
  <r>
    <n v="3313"/>
    <s v="Vanessa Silva"/>
    <x v="2"/>
    <x v="81"/>
    <x v="0"/>
    <n v="10"/>
    <x v="0"/>
    <x v="1"/>
    <x v="1"/>
    <s v="Yes"/>
    <n v="20"/>
    <n v="10"/>
    <n v="20"/>
  </r>
  <r>
    <n v="3314"/>
    <s v="William Carneiro"/>
    <x v="1"/>
    <x v="82"/>
    <x v="1"/>
    <n v="5"/>
    <x v="1"/>
    <x v="1"/>
    <x v="1"/>
    <s v="No"/>
    <n v="0"/>
    <n v="0"/>
    <n v="5"/>
  </r>
  <r>
    <n v="3315"/>
    <s v="Ximena Rocha"/>
    <x v="0"/>
    <x v="83"/>
    <x v="0"/>
    <n v="15"/>
    <x v="0"/>
    <x v="0"/>
    <x v="0"/>
    <s v="Yes"/>
    <n v="20"/>
    <n v="20"/>
    <n v="45"/>
  </r>
  <r>
    <n v="3316"/>
    <s v="Yasmin Figueiredo"/>
    <x v="2"/>
    <x v="84"/>
    <x v="1"/>
    <n v="10"/>
    <x v="2"/>
    <x v="1"/>
    <x v="1"/>
    <s v="Yes"/>
    <n v="20"/>
    <n v="15"/>
    <n v="15"/>
  </r>
  <r>
    <n v="3317"/>
    <s v="Zara Cunha"/>
    <x v="1"/>
    <x v="85"/>
    <x v="0"/>
    <n v="5"/>
    <x v="0"/>
    <x v="1"/>
    <x v="1"/>
    <s v="No"/>
    <n v="0"/>
    <n v="1"/>
    <n v="4"/>
  </r>
  <r>
    <n v="3318"/>
    <s v="Alan Teixeira"/>
    <x v="0"/>
    <x v="86"/>
    <x v="1"/>
    <n v="15"/>
    <x v="1"/>
    <x v="0"/>
    <x v="0"/>
    <s v="Yes"/>
    <n v="20"/>
    <n v="3"/>
    <n v="62"/>
  </r>
  <r>
    <n v="3319"/>
    <s v="Bárbara Oliveira"/>
    <x v="2"/>
    <x v="87"/>
    <x v="0"/>
    <n v="10"/>
    <x v="0"/>
    <x v="1"/>
    <x v="1"/>
    <s v="Yes"/>
    <n v="20"/>
    <n v="10"/>
    <n v="20"/>
  </r>
  <r>
    <n v="3320"/>
    <s v="Carlos Junqueira"/>
    <x v="1"/>
    <x v="88"/>
    <x v="1"/>
    <n v="5"/>
    <x v="2"/>
    <x v="1"/>
    <x v="1"/>
    <s v="No"/>
    <n v="0"/>
    <n v="0"/>
    <n v="5"/>
  </r>
  <r>
    <n v="3321"/>
    <s v="Daniela Moura"/>
    <x v="0"/>
    <x v="89"/>
    <x v="0"/>
    <n v="15"/>
    <x v="0"/>
    <x v="0"/>
    <x v="0"/>
    <s v="Yes"/>
    <n v="20"/>
    <n v="5"/>
    <n v="60"/>
  </r>
  <r>
    <n v="3322"/>
    <s v="Eduardo Lima"/>
    <x v="2"/>
    <x v="90"/>
    <x v="1"/>
    <n v="10"/>
    <x v="1"/>
    <x v="1"/>
    <x v="1"/>
    <s v="Yes"/>
    <n v="20"/>
    <n v="15"/>
    <n v="15"/>
  </r>
  <r>
    <n v="3323"/>
    <s v="Fabiana Araújo"/>
    <x v="1"/>
    <x v="91"/>
    <x v="0"/>
    <n v="5"/>
    <x v="0"/>
    <x v="1"/>
    <x v="1"/>
    <s v="No"/>
    <n v="0"/>
    <n v="1"/>
    <n v="4"/>
  </r>
  <r>
    <n v="3324"/>
    <s v="Geraldo Ribeiro"/>
    <x v="0"/>
    <x v="92"/>
    <x v="1"/>
    <n v="15"/>
    <x v="2"/>
    <x v="0"/>
    <x v="0"/>
    <s v="Yes"/>
    <n v="20"/>
    <n v="20"/>
    <n v="45"/>
  </r>
  <r>
    <n v="3325"/>
    <s v="Héctor Vargas"/>
    <x v="2"/>
    <x v="93"/>
    <x v="0"/>
    <n v="10"/>
    <x v="2"/>
    <x v="1"/>
    <x v="1"/>
    <s v="Yes"/>
    <n v="20"/>
    <n v="15"/>
    <n v="15"/>
  </r>
  <r>
    <n v="3326"/>
    <s v="Isabela Fonseca"/>
    <x v="1"/>
    <x v="94"/>
    <x v="1"/>
    <n v="5"/>
    <x v="1"/>
    <x v="1"/>
    <x v="1"/>
    <s v="No"/>
    <n v="0"/>
    <n v="0"/>
    <n v="5"/>
  </r>
  <r>
    <n v="3327"/>
    <s v="João Pedro Almeida"/>
    <x v="0"/>
    <x v="95"/>
    <x v="0"/>
    <n v="15"/>
    <x v="0"/>
    <x v="0"/>
    <x v="0"/>
    <s v="Yes"/>
    <n v="20"/>
    <n v="7"/>
    <n v="58"/>
  </r>
  <r>
    <n v="3328"/>
    <s v="Klara Costa"/>
    <x v="2"/>
    <x v="96"/>
    <x v="1"/>
    <n v="10"/>
    <x v="1"/>
    <x v="1"/>
    <x v="1"/>
    <s v="Yes"/>
    <n v="20"/>
    <n v="10"/>
    <n v="20"/>
  </r>
  <r>
    <n v="3329"/>
    <s v="Luciana Mendes"/>
    <x v="1"/>
    <x v="97"/>
    <x v="0"/>
    <n v="5"/>
    <x v="2"/>
    <x v="1"/>
    <x v="1"/>
    <s v="No"/>
    <n v="0"/>
    <n v="1"/>
    <n v="4"/>
  </r>
  <r>
    <n v="3330"/>
    <s v="Marcelo Gouveia"/>
    <x v="0"/>
    <x v="98"/>
    <x v="1"/>
    <n v="15"/>
    <x v="0"/>
    <x v="0"/>
    <x v="0"/>
    <s v="Yes"/>
    <n v="20"/>
    <n v="15"/>
    <n v="50"/>
  </r>
  <r>
    <n v="3331"/>
    <s v="Nívea Borges"/>
    <x v="2"/>
    <x v="99"/>
    <x v="0"/>
    <n v="10"/>
    <x v="0"/>
    <x v="1"/>
    <x v="1"/>
    <s v="Yes"/>
    <n v="20"/>
    <n v="5"/>
    <n v="25"/>
  </r>
  <r>
    <n v="3332"/>
    <s v="Oscar Nogueira"/>
    <x v="1"/>
    <x v="100"/>
    <x v="1"/>
    <n v="5"/>
    <x v="1"/>
    <x v="1"/>
    <x v="1"/>
    <s v="No"/>
    <n v="0"/>
    <n v="0"/>
    <n v="5"/>
  </r>
  <r>
    <n v="3333"/>
    <s v="Patrícia Alves"/>
    <x v="0"/>
    <x v="101"/>
    <x v="0"/>
    <n v="15"/>
    <x v="2"/>
    <x v="0"/>
    <x v="0"/>
    <s v="Yes"/>
    <n v="20"/>
    <n v="20"/>
    <n v="45"/>
  </r>
  <r>
    <n v="3334"/>
    <s v="Rafaela Silva"/>
    <x v="2"/>
    <x v="102"/>
    <x v="1"/>
    <n v="10"/>
    <x v="2"/>
    <x v="1"/>
    <x v="1"/>
    <s v="Yes"/>
    <n v="20"/>
    <n v="12"/>
    <n v="18"/>
  </r>
  <r>
    <n v="3335"/>
    <s v="Samantha Moraes"/>
    <x v="1"/>
    <x v="103"/>
    <x v="0"/>
    <n v="5"/>
    <x v="0"/>
    <x v="1"/>
    <x v="1"/>
    <s v="No"/>
    <n v="0"/>
    <n v="2"/>
    <n v="3"/>
  </r>
  <r>
    <n v="3336"/>
    <s v="Tatiana Rocha"/>
    <x v="1"/>
    <x v="104"/>
    <x v="0"/>
    <n v="5"/>
    <x v="0"/>
    <x v="1"/>
    <x v="1"/>
    <s v="No"/>
    <n v="0"/>
    <n v="0"/>
    <n v="5"/>
  </r>
  <r>
    <n v="3337"/>
    <s v="Ulisses Tavares"/>
    <x v="0"/>
    <x v="105"/>
    <x v="1"/>
    <n v="15"/>
    <x v="2"/>
    <x v="0"/>
    <x v="0"/>
    <s v="Yes"/>
    <n v="20"/>
    <n v="7"/>
    <n v="58"/>
  </r>
  <r>
    <n v="3338"/>
    <s v="Víctor Lemos"/>
    <x v="2"/>
    <x v="106"/>
    <x v="0"/>
    <n v="10"/>
    <x v="1"/>
    <x v="1"/>
    <x v="1"/>
    <s v="Yes"/>
    <n v="20"/>
    <n v="10"/>
    <n v="20"/>
  </r>
  <r>
    <n v="3339"/>
    <s v="Wilma Barros"/>
    <x v="1"/>
    <x v="107"/>
    <x v="1"/>
    <n v="5"/>
    <x v="2"/>
    <x v="1"/>
    <x v="1"/>
    <s v="No"/>
    <n v="0"/>
    <n v="1"/>
    <n v="4"/>
  </r>
  <r>
    <n v="3340"/>
    <s v="Xavier Nascimento"/>
    <x v="0"/>
    <x v="108"/>
    <x v="0"/>
    <n v="15"/>
    <x v="0"/>
    <x v="0"/>
    <x v="0"/>
    <s v="Yes"/>
    <n v="20"/>
    <n v="15"/>
    <n v="50"/>
  </r>
  <r>
    <n v="3341"/>
    <s v="Yago Pereira"/>
    <x v="2"/>
    <x v="109"/>
    <x v="1"/>
    <n v="10"/>
    <x v="0"/>
    <x v="1"/>
    <x v="1"/>
    <s v="Yes"/>
    <n v="20"/>
    <n v="5"/>
    <n v="25"/>
  </r>
  <r>
    <n v="3342"/>
    <s v="Zilda Ferreira"/>
    <x v="1"/>
    <x v="110"/>
    <x v="0"/>
    <n v="5"/>
    <x v="1"/>
    <x v="1"/>
    <x v="1"/>
    <s v="No"/>
    <n v="0"/>
    <n v="0"/>
    <n v="5"/>
  </r>
  <r>
    <n v="3343"/>
    <s v="Amanda Lopes"/>
    <x v="0"/>
    <x v="111"/>
    <x v="1"/>
    <n v="15"/>
    <x v="2"/>
    <x v="0"/>
    <x v="0"/>
    <s v="Yes"/>
    <n v="20"/>
    <n v="20"/>
    <n v="45"/>
  </r>
  <r>
    <n v="3344"/>
    <s v="Bruno Miranda"/>
    <x v="2"/>
    <x v="112"/>
    <x v="0"/>
    <n v="10"/>
    <x v="2"/>
    <x v="1"/>
    <x v="1"/>
    <s v="Yes"/>
    <n v="20"/>
    <n v="12"/>
    <n v="18"/>
  </r>
  <r>
    <n v="3345"/>
    <s v="Célia Torres"/>
    <x v="1"/>
    <x v="113"/>
    <x v="1"/>
    <n v="5"/>
    <x v="0"/>
    <x v="1"/>
    <x v="1"/>
    <s v="No"/>
    <n v="0"/>
    <n v="2"/>
    <n v="3"/>
  </r>
  <r>
    <n v="3346"/>
    <s v="Diogo Souza"/>
    <x v="0"/>
    <x v="114"/>
    <x v="0"/>
    <n v="15"/>
    <x v="1"/>
    <x v="0"/>
    <x v="0"/>
    <s v="Yes"/>
    <n v="20"/>
    <n v="5"/>
    <n v="60"/>
  </r>
  <r>
    <n v="3347"/>
    <s v="Elisa Castro"/>
    <x v="2"/>
    <x v="115"/>
    <x v="1"/>
    <n v="10"/>
    <x v="0"/>
    <x v="1"/>
    <x v="1"/>
    <s v="Yes"/>
    <n v="20"/>
    <n v="10"/>
    <n v="20"/>
  </r>
  <r>
    <n v="3348"/>
    <s v="Fátima Lima"/>
    <x v="1"/>
    <x v="116"/>
    <x v="0"/>
    <n v="5"/>
    <x v="2"/>
    <x v="1"/>
    <x v="1"/>
    <s v="No"/>
    <n v="0"/>
    <n v="0"/>
    <n v="5"/>
  </r>
  <r>
    <n v="3349"/>
    <s v="Geraldo Ribeiro"/>
    <x v="0"/>
    <x v="117"/>
    <x v="1"/>
    <n v="15"/>
    <x v="0"/>
    <x v="0"/>
    <x v="0"/>
    <s v="Yes"/>
    <n v="20"/>
    <n v="3"/>
    <n v="62"/>
  </r>
  <r>
    <n v="3350"/>
    <s v="Hélio Martins"/>
    <x v="2"/>
    <x v="118"/>
    <x v="0"/>
    <n v="10"/>
    <x v="1"/>
    <x v="1"/>
    <x v="1"/>
    <s v="Yes"/>
    <n v="20"/>
    <n v="15"/>
    <n v="15"/>
  </r>
  <r>
    <n v="3351"/>
    <s v="Íris Santos"/>
    <x v="1"/>
    <x v="119"/>
    <x v="1"/>
    <n v="5"/>
    <x v="0"/>
    <x v="1"/>
    <x v="1"/>
    <s v="No"/>
    <n v="0"/>
    <n v="1"/>
    <n v="4"/>
  </r>
  <r>
    <n v="3352"/>
    <s v="João Marcelo"/>
    <x v="0"/>
    <x v="120"/>
    <x v="0"/>
    <n v="15"/>
    <x v="2"/>
    <x v="0"/>
    <x v="0"/>
    <s v="Yes"/>
    <n v="20"/>
    <n v="7"/>
    <n v="58"/>
  </r>
  <r>
    <n v="3353"/>
    <s v="Larissa Gomes"/>
    <x v="2"/>
    <x v="121"/>
    <x v="1"/>
    <n v="10"/>
    <x v="0"/>
    <x v="1"/>
    <x v="1"/>
    <s v="Yes"/>
    <n v="20"/>
    <n v="10"/>
    <n v="20"/>
  </r>
  <r>
    <n v="3354"/>
    <s v="Márcio Silva"/>
    <x v="1"/>
    <x v="122"/>
    <x v="0"/>
    <n v="5"/>
    <x v="1"/>
    <x v="1"/>
    <x v="1"/>
    <s v="No"/>
    <n v="0"/>
    <n v="0"/>
    <n v="5"/>
  </r>
  <r>
    <n v="3355"/>
    <s v="Nadia Costa"/>
    <x v="0"/>
    <x v="123"/>
    <x v="1"/>
    <n v="15"/>
    <x v="0"/>
    <x v="0"/>
    <x v="0"/>
    <s v="Yes"/>
    <n v="20"/>
    <n v="20"/>
    <n v="45"/>
  </r>
  <r>
    <n v="3356"/>
    <s v="Oscar Almeida"/>
    <x v="2"/>
    <x v="124"/>
    <x v="0"/>
    <n v="10"/>
    <x v="2"/>
    <x v="1"/>
    <x v="1"/>
    <s v="Yes"/>
    <n v="20"/>
    <n v="15"/>
    <n v="15"/>
  </r>
  <r>
    <n v="3357"/>
    <s v="Patricia Soares"/>
    <x v="1"/>
    <x v="125"/>
    <x v="1"/>
    <n v="5"/>
    <x v="0"/>
    <x v="1"/>
    <x v="1"/>
    <s v="No"/>
    <n v="0"/>
    <n v="1"/>
    <n v="4"/>
  </r>
  <r>
    <n v="3358"/>
    <s v="Quênia Barros"/>
    <x v="0"/>
    <x v="126"/>
    <x v="0"/>
    <n v="15"/>
    <x v="1"/>
    <x v="0"/>
    <x v="0"/>
    <s v="Yes"/>
    <n v="20"/>
    <n v="3"/>
    <n v="62"/>
  </r>
  <r>
    <n v="3359"/>
    <s v="Rafael Torres"/>
    <x v="2"/>
    <x v="127"/>
    <x v="1"/>
    <n v="10"/>
    <x v="0"/>
    <x v="1"/>
    <x v="1"/>
    <s v="Yes"/>
    <n v="20"/>
    <n v="10"/>
    <n v="20"/>
  </r>
  <r>
    <n v="3360"/>
    <s v="Silvia Nascimento"/>
    <x v="1"/>
    <x v="128"/>
    <x v="0"/>
    <n v="5"/>
    <x v="2"/>
    <x v="1"/>
    <x v="1"/>
    <s v="No"/>
    <n v="0"/>
    <n v="0"/>
    <n v="5"/>
  </r>
  <r>
    <n v="3361"/>
    <s v="Tiago Mendes"/>
    <x v="0"/>
    <x v="129"/>
    <x v="1"/>
    <n v="15"/>
    <x v="0"/>
    <x v="0"/>
    <x v="0"/>
    <s v="Yes"/>
    <n v="20"/>
    <n v="15"/>
    <n v="50"/>
  </r>
  <r>
    <n v="3362"/>
    <s v="Ursula Silva"/>
    <x v="2"/>
    <x v="130"/>
    <x v="0"/>
    <n v="10"/>
    <x v="1"/>
    <x v="1"/>
    <x v="1"/>
    <s v="Yes"/>
    <n v="20"/>
    <n v="15"/>
    <n v="15"/>
  </r>
  <r>
    <n v="3363"/>
    <s v="Vanessa Moraes"/>
    <x v="1"/>
    <x v="131"/>
    <x v="1"/>
    <n v="5"/>
    <x v="0"/>
    <x v="1"/>
    <x v="1"/>
    <s v="No"/>
    <n v="0"/>
    <n v="1"/>
    <n v="4"/>
  </r>
  <r>
    <n v="3364"/>
    <s v="Waldir Junior"/>
    <x v="0"/>
    <x v="132"/>
    <x v="0"/>
    <n v="15"/>
    <x v="2"/>
    <x v="0"/>
    <x v="0"/>
    <s v="Yes"/>
    <n v="20"/>
    <n v="7"/>
    <n v="58"/>
  </r>
  <r>
    <n v="3365"/>
    <s v="Xavier Lopes"/>
    <x v="2"/>
    <x v="133"/>
    <x v="1"/>
    <n v="10"/>
    <x v="0"/>
    <x v="1"/>
    <x v="1"/>
    <s v="Yes"/>
    <n v="20"/>
    <n v="10"/>
    <n v="20"/>
  </r>
  <r>
    <n v="3366"/>
    <s v="Yolanda Freitas"/>
    <x v="1"/>
    <x v="134"/>
    <x v="0"/>
    <n v="5"/>
    <x v="0"/>
    <x v="1"/>
    <x v="1"/>
    <s v="No"/>
    <n v="0"/>
    <n v="0"/>
    <n v="5"/>
  </r>
  <r>
    <n v="3367"/>
    <s v="Zacarias Nunes"/>
    <x v="0"/>
    <x v="135"/>
    <x v="1"/>
    <n v="15"/>
    <x v="2"/>
    <x v="0"/>
    <x v="0"/>
    <s v="Yes"/>
    <n v="20"/>
    <n v="7"/>
    <n v="58"/>
  </r>
  <r>
    <n v="3368"/>
    <s v="Ana Clara Barreto"/>
    <x v="2"/>
    <x v="136"/>
    <x v="0"/>
    <n v="10"/>
    <x v="1"/>
    <x v="1"/>
    <x v="1"/>
    <s v="Yes"/>
    <n v="20"/>
    <n v="10"/>
    <n v="20"/>
  </r>
  <r>
    <n v="3369"/>
    <s v="Bruno Henrique"/>
    <x v="1"/>
    <x v="137"/>
    <x v="1"/>
    <n v="5"/>
    <x v="2"/>
    <x v="1"/>
    <x v="1"/>
    <s v="No"/>
    <n v="0"/>
    <n v="1"/>
    <n v="4"/>
  </r>
  <r>
    <n v="3370"/>
    <s v="Carlos Eduardo"/>
    <x v="0"/>
    <x v="138"/>
    <x v="0"/>
    <n v="15"/>
    <x v="0"/>
    <x v="0"/>
    <x v="0"/>
    <s v="Yes"/>
    <n v="20"/>
    <n v="15"/>
    <n v="50"/>
  </r>
  <r>
    <n v="3371"/>
    <s v="Débora Lima"/>
    <x v="2"/>
    <x v="139"/>
    <x v="1"/>
    <n v="10"/>
    <x v="0"/>
    <x v="1"/>
    <x v="1"/>
    <s v="Yes"/>
    <n v="20"/>
    <n v="5"/>
    <n v="25"/>
  </r>
  <r>
    <n v="3372"/>
    <s v="Elisa Neves"/>
    <x v="1"/>
    <x v="140"/>
    <x v="0"/>
    <n v="5"/>
    <x v="1"/>
    <x v="1"/>
    <x v="1"/>
    <s v="No"/>
    <n v="0"/>
    <n v="0"/>
    <n v="5"/>
  </r>
  <r>
    <n v="3373"/>
    <s v="Fabiano Gomes"/>
    <x v="0"/>
    <x v="141"/>
    <x v="1"/>
    <n v="15"/>
    <x v="2"/>
    <x v="0"/>
    <x v="0"/>
    <s v="Yes"/>
    <n v="20"/>
    <n v="20"/>
    <n v="45"/>
  </r>
  <r>
    <n v="3374"/>
    <s v="Gisele Oliveira"/>
    <x v="2"/>
    <x v="142"/>
    <x v="0"/>
    <n v="10"/>
    <x v="2"/>
    <x v="1"/>
    <x v="1"/>
    <s v="Yes"/>
    <n v="20"/>
    <n v="12"/>
    <n v="18"/>
  </r>
  <r>
    <n v="3375"/>
    <s v="Héctor Silva"/>
    <x v="1"/>
    <x v="143"/>
    <x v="1"/>
    <n v="5"/>
    <x v="0"/>
    <x v="1"/>
    <x v="1"/>
    <s v="No"/>
    <n v="0"/>
    <n v="2"/>
    <n v="3"/>
  </r>
  <r>
    <n v="3376"/>
    <s v="Igor Martins"/>
    <x v="0"/>
    <x v="144"/>
    <x v="0"/>
    <n v="15"/>
    <x v="1"/>
    <x v="0"/>
    <x v="0"/>
    <s v="Yes"/>
    <n v="20"/>
    <n v="5"/>
    <n v="60"/>
  </r>
  <r>
    <n v="3377"/>
    <s v="Joana Figueiredo"/>
    <x v="2"/>
    <x v="145"/>
    <x v="1"/>
    <n v="10"/>
    <x v="0"/>
    <x v="1"/>
    <x v="1"/>
    <s v="Yes"/>
    <n v="20"/>
    <n v="10"/>
    <n v="20"/>
  </r>
  <r>
    <n v="3378"/>
    <s v="Kleber Machado"/>
    <x v="1"/>
    <x v="146"/>
    <x v="0"/>
    <n v="5"/>
    <x v="2"/>
    <x v="1"/>
    <x v="1"/>
    <s v="No"/>
    <n v="0"/>
    <n v="0"/>
    <n v="5"/>
  </r>
  <r>
    <n v="3379"/>
    <s v="Luciana Santos"/>
    <x v="0"/>
    <x v="147"/>
    <x v="1"/>
    <n v="15"/>
    <x v="0"/>
    <x v="0"/>
    <x v="0"/>
    <s v="Yes"/>
    <n v="20"/>
    <n v="3"/>
    <n v="62"/>
  </r>
  <r>
    <n v="3380"/>
    <s v="Marcos Teixeira"/>
    <x v="2"/>
    <x v="148"/>
    <x v="0"/>
    <n v="10"/>
    <x v="1"/>
    <x v="1"/>
    <x v="1"/>
    <s v="Yes"/>
    <n v="20"/>
    <n v="15"/>
    <n v="15"/>
  </r>
  <r>
    <n v="3381"/>
    <s v="Natalia Costa"/>
    <x v="1"/>
    <x v="149"/>
    <x v="1"/>
    <n v="5"/>
    <x v="0"/>
    <x v="1"/>
    <x v="1"/>
    <s v="No"/>
    <n v="0"/>
    <n v="1"/>
    <n v="4"/>
  </r>
  <r>
    <n v="3382"/>
    <s v="Oscar Ribeiro"/>
    <x v="0"/>
    <x v="150"/>
    <x v="0"/>
    <n v="15"/>
    <x v="2"/>
    <x v="0"/>
    <x v="0"/>
    <s v="Yes"/>
    <n v="20"/>
    <n v="7"/>
    <n v="58"/>
  </r>
  <r>
    <n v="3383"/>
    <s v="Patricia Almeida"/>
    <x v="2"/>
    <x v="151"/>
    <x v="1"/>
    <n v="10"/>
    <x v="0"/>
    <x v="1"/>
    <x v="1"/>
    <s v="Yes"/>
    <n v="20"/>
    <n v="10"/>
    <n v="20"/>
  </r>
  <r>
    <n v="3384"/>
    <s v="Quirino Junior"/>
    <x v="1"/>
    <x v="152"/>
    <x v="0"/>
    <n v="5"/>
    <x v="1"/>
    <x v="1"/>
    <x v="1"/>
    <s v="No"/>
    <n v="0"/>
    <n v="0"/>
    <n v="5"/>
  </r>
  <r>
    <n v="3385"/>
    <s v="Renata Machado"/>
    <x v="0"/>
    <x v="153"/>
    <x v="1"/>
    <n v="15"/>
    <x v="0"/>
    <x v="0"/>
    <x v="0"/>
    <s v="Yes"/>
    <n v="20"/>
    <n v="20"/>
    <n v="45"/>
  </r>
  <r>
    <n v="3386"/>
    <s v="Sônia Alves"/>
    <x v="2"/>
    <x v="154"/>
    <x v="0"/>
    <n v="10"/>
    <x v="2"/>
    <x v="1"/>
    <x v="1"/>
    <s v="Yes"/>
    <n v="20"/>
    <n v="15"/>
    <n v="15"/>
  </r>
  <r>
    <n v="3387"/>
    <s v="Tiago Nunes"/>
    <x v="1"/>
    <x v="155"/>
    <x v="1"/>
    <n v="5"/>
    <x v="0"/>
    <x v="1"/>
    <x v="1"/>
    <s v="No"/>
    <n v="0"/>
    <n v="1"/>
    <n v="4"/>
  </r>
  <r>
    <n v="3388"/>
    <s v="Ulysses Pereira"/>
    <x v="0"/>
    <x v="156"/>
    <x v="0"/>
    <n v="15"/>
    <x v="1"/>
    <x v="0"/>
    <x v="0"/>
    <s v="Yes"/>
    <n v="20"/>
    <n v="3"/>
    <n v="62"/>
  </r>
  <r>
    <n v="3389"/>
    <s v="Vanessa Lima"/>
    <x v="2"/>
    <x v="157"/>
    <x v="1"/>
    <n v="10"/>
    <x v="0"/>
    <x v="1"/>
    <x v="1"/>
    <s v="Yes"/>
    <n v="20"/>
    <n v="10"/>
    <n v="20"/>
  </r>
  <r>
    <n v="3390"/>
    <s v="Wagner Santos"/>
    <x v="1"/>
    <x v="158"/>
    <x v="0"/>
    <n v="5"/>
    <x v="2"/>
    <x v="1"/>
    <x v="1"/>
    <s v="No"/>
    <n v="0"/>
    <n v="0"/>
    <n v="5"/>
  </r>
  <r>
    <n v="3391"/>
    <s v="Xuxa Meneghel"/>
    <x v="0"/>
    <x v="159"/>
    <x v="1"/>
    <n v="15"/>
    <x v="0"/>
    <x v="0"/>
    <x v="0"/>
    <s v="Yes"/>
    <n v="20"/>
    <n v="15"/>
    <n v="50"/>
  </r>
  <r>
    <n v="3392"/>
    <s v="Yasmin Silva"/>
    <x v="2"/>
    <x v="160"/>
    <x v="0"/>
    <n v="10"/>
    <x v="1"/>
    <x v="1"/>
    <x v="1"/>
    <s v="Yes"/>
    <n v="20"/>
    <n v="15"/>
    <n v="15"/>
  </r>
  <r>
    <n v="3393"/>
    <s v="Zacarias de Souza"/>
    <x v="1"/>
    <x v="161"/>
    <x v="1"/>
    <n v="5"/>
    <x v="0"/>
    <x v="1"/>
    <x v="1"/>
    <s v="No"/>
    <n v="0"/>
    <n v="1"/>
    <n v="4"/>
  </r>
  <r>
    <n v="3394"/>
    <s v="André Lima"/>
    <x v="0"/>
    <x v="162"/>
    <x v="0"/>
    <n v="15"/>
    <x v="2"/>
    <x v="0"/>
    <x v="0"/>
    <s v="Yes"/>
    <n v="20"/>
    <n v="7"/>
    <n v="58"/>
  </r>
  <r>
    <n v="3395"/>
    <s v="Bianca Freitas"/>
    <x v="2"/>
    <x v="163"/>
    <x v="1"/>
    <n v="10"/>
    <x v="0"/>
    <x v="1"/>
    <x v="1"/>
    <s v="Yes"/>
    <n v="20"/>
    <n v="10"/>
    <n v="20"/>
  </r>
  <r>
    <n v="3396"/>
    <s v="Caio Mendes"/>
    <x v="1"/>
    <x v="164"/>
    <x v="0"/>
    <n v="5"/>
    <x v="1"/>
    <x v="1"/>
    <x v="1"/>
    <s v="No"/>
    <n v="0"/>
    <n v="0"/>
    <n v="5"/>
  </r>
  <r>
    <n v="3397"/>
    <s v="Daniela Moura"/>
    <x v="0"/>
    <x v="165"/>
    <x v="1"/>
    <n v="15"/>
    <x v="0"/>
    <x v="0"/>
    <x v="0"/>
    <s v="Yes"/>
    <n v="20"/>
    <n v="20"/>
    <n v="45"/>
  </r>
  <r>
    <n v="3398"/>
    <s v="Eduardo Costa"/>
    <x v="2"/>
    <x v="166"/>
    <x v="0"/>
    <n v="10"/>
    <x v="2"/>
    <x v="1"/>
    <x v="1"/>
    <s v="Yes"/>
    <n v="20"/>
    <n v="15"/>
    <n v="15"/>
  </r>
  <r>
    <n v="3399"/>
    <s v="Fernanda Gomes"/>
    <x v="1"/>
    <x v="167"/>
    <x v="1"/>
    <n v="5"/>
    <x v="0"/>
    <x v="1"/>
    <x v="1"/>
    <s v="No"/>
    <n v="0"/>
    <n v="1"/>
    <n v="4"/>
  </r>
  <r>
    <n v="3400"/>
    <s v="Guilherme Souza"/>
    <x v="0"/>
    <x v="168"/>
    <x v="0"/>
    <n v="15"/>
    <x v="1"/>
    <x v="0"/>
    <x v="0"/>
    <s v="Yes"/>
    <n v="20"/>
    <n v="5"/>
    <n v="60"/>
  </r>
  <r>
    <n v="3401"/>
    <s v="Helena Ribeiro"/>
    <x v="2"/>
    <x v="169"/>
    <x v="1"/>
    <n v="10"/>
    <x v="0"/>
    <x v="1"/>
    <x v="1"/>
    <s v="Yes"/>
    <n v="20"/>
    <n v="10"/>
    <n v="20"/>
  </r>
  <r>
    <n v="3402"/>
    <s v="Igor Santos"/>
    <x v="1"/>
    <x v="170"/>
    <x v="0"/>
    <n v="5"/>
    <x v="2"/>
    <x v="1"/>
    <x v="1"/>
    <s v="No"/>
    <n v="0"/>
    <n v="0"/>
    <n v="5"/>
  </r>
  <r>
    <n v="3403"/>
    <s v="João Carvalho"/>
    <x v="0"/>
    <x v="171"/>
    <x v="1"/>
    <n v="15"/>
    <x v="0"/>
    <x v="0"/>
    <x v="0"/>
    <s v="Yes"/>
    <n v="20"/>
    <n v="3"/>
    <n v="62"/>
  </r>
  <r>
    <n v="3404"/>
    <s v="Klara Fagundes"/>
    <x v="2"/>
    <x v="172"/>
    <x v="0"/>
    <n v="10"/>
    <x v="1"/>
    <x v="1"/>
    <x v="1"/>
    <s v="Yes"/>
    <n v="20"/>
    <n v="15"/>
    <n v="15"/>
  </r>
  <r>
    <n v="3405"/>
    <s v="Lúcia Mendonça"/>
    <x v="1"/>
    <x v="173"/>
    <x v="1"/>
    <n v="5"/>
    <x v="0"/>
    <x v="1"/>
    <x v="1"/>
    <s v="No"/>
    <n v="0"/>
    <n v="1"/>
    <n v="4"/>
  </r>
  <r>
    <n v="3406"/>
    <s v="Marcelo Novaes"/>
    <x v="1"/>
    <x v="174"/>
    <x v="0"/>
    <n v="5"/>
    <x v="0"/>
    <x v="1"/>
    <x v="1"/>
    <s v="No"/>
    <n v="0"/>
    <n v="0"/>
    <n v="5"/>
  </r>
  <r>
    <n v="3407"/>
    <s v="Nina Pacheco"/>
    <x v="0"/>
    <x v="175"/>
    <x v="1"/>
    <n v="15"/>
    <x v="2"/>
    <x v="0"/>
    <x v="0"/>
    <s v="Yes"/>
    <n v="20"/>
    <n v="7"/>
    <n v="58"/>
  </r>
  <r>
    <n v="3408"/>
    <s v="Olívia Rios"/>
    <x v="2"/>
    <x v="176"/>
    <x v="0"/>
    <n v="10"/>
    <x v="1"/>
    <x v="1"/>
    <x v="1"/>
    <s v="Yes"/>
    <n v="20"/>
    <n v="10"/>
    <n v="20"/>
  </r>
  <r>
    <n v="3409"/>
    <s v="Paulo Quintana"/>
    <x v="1"/>
    <x v="177"/>
    <x v="1"/>
    <n v="5"/>
    <x v="2"/>
    <x v="1"/>
    <x v="1"/>
    <s v="No"/>
    <n v="0"/>
    <n v="1"/>
    <n v="4"/>
  </r>
  <r>
    <n v="3410"/>
    <s v="Raquel Domingos"/>
    <x v="0"/>
    <x v="178"/>
    <x v="0"/>
    <n v="15"/>
    <x v="0"/>
    <x v="0"/>
    <x v="0"/>
    <s v="Yes"/>
    <n v="20"/>
    <n v="15"/>
    <n v="50"/>
  </r>
  <r>
    <n v="3411"/>
    <s v="Samuel Viana"/>
    <x v="2"/>
    <x v="179"/>
    <x v="1"/>
    <n v="10"/>
    <x v="0"/>
    <x v="1"/>
    <x v="1"/>
    <s v="Yes"/>
    <n v="20"/>
    <n v="5"/>
    <n v="25"/>
  </r>
  <r>
    <n v="3412"/>
    <s v="Tatiane Rocha"/>
    <x v="1"/>
    <x v="180"/>
    <x v="0"/>
    <n v="5"/>
    <x v="1"/>
    <x v="1"/>
    <x v="1"/>
    <s v="No"/>
    <n v="0"/>
    <n v="0"/>
    <n v="5"/>
  </r>
  <r>
    <n v="3413"/>
    <s v="Ulysses Farias"/>
    <x v="0"/>
    <x v="181"/>
    <x v="1"/>
    <n v="15"/>
    <x v="2"/>
    <x v="0"/>
    <x v="0"/>
    <s v="Yes"/>
    <n v="20"/>
    <n v="20"/>
    <n v="45"/>
  </r>
  <r>
    <n v="3414"/>
    <s v="Vanessa Moreira"/>
    <x v="2"/>
    <x v="182"/>
    <x v="0"/>
    <n v="10"/>
    <x v="2"/>
    <x v="1"/>
    <x v="1"/>
    <s v="Yes"/>
    <n v="20"/>
    <n v="12"/>
    <n v="18"/>
  </r>
  <r>
    <n v="3415"/>
    <s v="William Carvalho"/>
    <x v="1"/>
    <x v="183"/>
    <x v="1"/>
    <n v="5"/>
    <x v="0"/>
    <x v="1"/>
    <x v="1"/>
    <s v="No"/>
    <n v="0"/>
    <n v="2"/>
    <n v="3"/>
  </r>
  <r>
    <n v="3416"/>
    <s v="Ximena Barros"/>
    <x v="0"/>
    <x v="184"/>
    <x v="0"/>
    <n v="15"/>
    <x v="1"/>
    <x v="0"/>
    <x v="0"/>
    <s v="Yes"/>
    <n v="20"/>
    <n v="5"/>
    <n v="60"/>
  </r>
  <r>
    <n v="3417"/>
    <s v="Yara Machado"/>
    <x v="2"/>
    <x v="185"/>
    <x v="1"/>
    <n v="10"/>
    <x v="0"/>
    <x v="1"/>
    <x v="1"/>
    <s v="Yes"/>
    <n v="20"/>
    <n v="10"/>
    <n v="20"/>
  </r>
  <r>
    <n v="3418"/>
    <s v="Zacarias Costa"/>
    <x v="1"/>
    <x v="186"/>
    <x v="0"/>
    <n v="5"/>
    <x v="2"/>
    <x v="1"/>
    <x v="1"/>
    <s v="No"/>
    <n v="0"/>
    <n v="0"/>
    <n v="5"/>
  </r>
  <r>
    <n v="3419"/>
    <s v="André Lopes"/>
    <x v="0"/>
    <x v="187"/>
    <x v="1"/>
    <n v="15"/>
    <x v="0"/>
    <x v="0"/>
    <x v="0"/>
    <s v="Yes"/>
    <n v="20"/>
    <n v="3"/>
    <n v="62"/>
  </r>
  <r>
    <n v="3420"/>
    <s v="Beatriz Souza"/>
    <x v="2"/>
    <x v="188"/>
    <x v="0"/>
    <n v="10"/>
    <x v="1"/>
    <x v="1"/>
    <x v="1"/>
    <s v="Yes"/>
    <n v="20"/>
    <n v="15"/>
    <n v="15"/>
  </r>
  <r>
    <n v="3421"/>
    <s v="Caio Pereira"/>
    <x v="1"/>
    <x v="189"/>
    <x v="1"/>
    <n v="5"/>
    <x v="0"/>
    <x v="1"/>
    <x v="1"/>
    <s v="No"/>
    <n v="0"/>
    <n v="1"/>
    <n v="4"/>
  </r>
  <r>
    <n v="3422"/>
    <s v="Daniela Araújo"/>
    <x v="0"/>
    <x v="190"/>
    <x v="0"/>
    <n v="15"/>
    <x v="2"/>
    <x v="0"/>
    <x v="0"/>
    <s v="Yes"/>
    <n v="20"/>
    <n v="7"/>
    <n v="58"/>
  </r>
  <r>
    <n v="3423"/>
    <s v="Eduardo Santos"/>
    <x v="2"/>
    <x v="191"/>
    <x v="1"/>
    <n v="10"/>
    <x v="0"/>
    <x v="1"/>
    <x v="1"/>
    <s v="Yes"/>
    <n v="20"/>
    <n v="10"/>
    <n v="20"/>
  </r>
  <r>
    <n v="3424"/>
    <s v="Fernanda Lima"/>
    <x v="1"/>
    <x v="192"/>
    <x v="0"/>
    <n v="5"/>
    <x v="1"/>
    <x v="1"/>
    <x v="1"/>
    <s v="No"/>
    <n v="0"/>
    <n v="0"/>
    <n v="5"/>
  </r>
  <r>
    <n v="3425"/>
    <s v="Gabriel Teixeira"/>
    <x v="0"/>
    <x v="193"/>
    <x v="1"/>
    <n v="15"/>
    <x v="0"/>
    <x v="0"/>
    <x v="0"/>
    <s v="Yes"/>
    <n v="20"/>
    <n v="20"/>
    <n v="45"/>
  </r>
  <r>
    <n v="3426"/>
    <s v="Helena Ribeiro"/>
    <x v="2"/>
    <x v="194"/>
    <x v="0"/>
    <n v="10"/>
    <x v="2"/>
    <x v="1"/>
    <x v="1"/>
    <s v="Yes"/>
    <n v="20"/>
    <n v="15"/>
    <n v="15"/>
  </r>
  <r>
    <n v="3427"/>
    <s v="Igor Mendes"/>
    <x v="1"/>
    <x v="195"/>
    <x v="1"/>
    <n v="5"/>
    <x v="0"/>
    <x v="1"/>
    <x v="1"/>
    <s v="No"/>
    <n v="0"/>
    <n v="1"/>
    <n v="4"/>
  </r>
  <r>
    <n v="3428"/>
    <s v="Joana Silveira"/>
    <x v="0"/>
    <x v="196"/>
    <x v="0"/>
    <n v="15"/>
    <x v="1"/>
    <x v="0"/>
    <x v="0"/>
    <s v="Yes"/>
    <n v="20"/>
    <n v="3"/>
    <n v="62"/>
  </r>
  <r>
    <n v="3429"/>
    <s v="Lucas Martins"/>
    <x v="2"/>
    <x v="197"/>
    <x v="1"/>
    <n v="10"/>
    <x v="0"/>
    <x v="1"/>
    <x v="1"/>
    <s v="Yes"/>
    <n v="20"/>
    <n v="10"/>
    <n v="20"/>
  </r>
  <r>
    <n v="3430"/>
    <s v="Marcela Gouveia"/>
    <x v="1"/>
    <x v="198"/>
    <x v="0"/>
    <n v="5"/>
    <x v="2"/>
    <x v="1"/>
    <x v="1"/>
    <s v="No"/>
    <n v="0"/>
    <n v="0"/>
    <n v="5"/>
  </r>
  <r>
    <n v="3431"/>
    <s v="Nicolas Borges"/>
    <x v="0"/>
    <x v="199"/>
    <x v="1"/>
    <n v="15"/>
    <x v="0"/>
    <x v="0"/>
    <x v="0"/>
    <s v="Yes"/>
    <n v="20"/>
    <n v="15"/>
    <n v="50"/>
  </r>
  <r>
    <n v="3432"/>
    <s v="Olivia Freitas"/>
    <x v="2"/>
    <x v="200"/>
    <x v="0"/>
    <n v="10"/>
    <x v="1"/>
    <x v="1"/>
    <x v="1"/>
    <s v="Yes"/>
    <n v="20"/>
    <n v="15"/>
    <n v="15"/>
  </r>
  <r>
    <n v="3433"/>
    <s v="Paulo Nogueira"/>
    <x v="1"/>
    <x v="201"/>
    <x v="1"/>
    <n v="5"/>
    <x v="0"/>
    <x v="1"/>
    <x v="1"/>
    <s v="No"/>
    <n v="0"/>
    <n v="1"/>
    <n v="4"/>
  </r>
  <r>
    <n v="3434"/>
    <s v="Raquel Andrade"/>
    <x v="0"/>
    <x v="202"/>
    <x v="0"/>
    <n v="15"/>
    <x v="2"/>
    <x v="0"/>
    <x v="0"/>
    <s v="Yes"/>
    <n v="20"/>
    <n v="7"/>
    <n v="58"/>
  </r>
  <r>
    <n v="3435"/>
    <s v="Sônia Carvalho"/>
    <x v="2"/>
    <x v="203"/>
    <x v="1"/>
    <n v="10"/>
    <x v="0"/>
    <x v="1"/>
    <x v="1"/>
    <s v="Yes"/>
    <n v="20"/>
    <n v="10"/>
    <n v="20"/>
  </r>
  <r>
    <n v="3436"/>
    <s v="Tiago Rodrigues"/>
    <x v="1"/>
    <x v="204"/>
    <x v="0"/>
    <n v="5"/>
    <x v="0"/>
    <x v="1"/>
    <x v="1"/>
    <s v="No"/>
    <n v="0"/>
    <n v="0"/>
    <n v="5"/>
  </r>
  <r>
    <n v="3437"/>
    <s v="Ursula Monteiro"/>
    <x v="0"/>
    <x v="205"/>
    <x v="1"/>
    <n v="15"/>
    <x v="2"/>
    <x v="0"/>
    <x v="0"/>
    <s v="Yes"/>
    <n v="20"/>
    <n v="7"/>
    <n v="58"/>
  </r>
  <r>
    <n v="3438"/>
    <s v="Vanessa Pereira"/>
    <x v="2"/>
    <x v="206"/>
    <x v="0"/>
    <n v="10"/>
    <x v="1"/>
    <x v="1"/>
    <x v="1"/>
    <s v="Yes"/>
    <n v="20"/>
    <n v="10"/>
    <n v="20"/>
  </r>
  <r>
    <n v="3439"/>
    <s v="Walter Silva"/>
    <x v="1"/>
    <x v="207"/>
    <x v="1"/>
    <n v="5"/>
    <x v="2"/>
    <x v="1"/>
    <x v="1"/>
    <s v="No"/>
    <n v="0"/>
    <n v="1"/>
    <n v="4"/>
  </r>
  <r>
    <n v="3440"/>
    <s v="Xavier Almeida"/>
    <x v="0"/>
    <x v="208"/>
    <x v="0"/>
    <n v="15"/>
    <x v="0"/>
    <x v="0"/>
    <x v="0"/>
    <s v="Yes"/>
    <n v="20"/>
    <n v="15"/>
    <n v="50"/>
  </r>
  <r>
    <n v="3441"/>
    <s v="Yasmine Correia"/>
    <x v="2"/>
    <x v="209"/>
    <x v="1"/>
    <n v="10"/>
    <x v="0"/>
    <x v="1"/>
    <x v="1"/>
    <s v="Yes"/>
    <n v="20"/>
    <n v="5"/>
    <n v="25"/>
  </r>
  <r>
    <n v="3442"/>
    <s v="Zacarias Almeida"/>
    <x v="1"/>
    <x v="210"/>
    <x v="0"/>
    <n v="5"/>
    <x v="1"/>
    <x v="1"/>
    <x v="1"/>
    <s v="No"/>
    <n v="0"/>
    <n v="0"/>
    <n v="5"/>
  </r>
  <r>
    <n v="3443"/>
    <s v="Amanda Costa"/>
    <x v="0"/>
    <x v="211"/>
    <x v="1"/>
    <n v="15"/>
    <x v="2"/>
    <x v="0"/>
    <x v="0"/>
    <s v="Yes"/>
    <n v="20"/>
    <n v="20"/>
    <n v="45"/>
  </r>
  <r>
    <n v="3444"/>
    <s v="Bruno Ferreira"/>
    <x v="2"/>
    <x v="212"/>
    <x v="0"/>
    <n v="10"/>
    <x v="2"/>
    <x v="1"/>
    <x v="1"/>
    <s v="Yes"/>
    <n v="20"/>
    <n v="12"/>
    <n v="18"/>
  </r>
  <r>
    <n v="3445"/>
    <s v="Carla Dias"/>
    <x v="1"/>
    <x v="213"/>
    <x v="1"/>
    <n v="5"/>
    <x v="0"/>
    <x v="1"/>
    <x v="1"/>
    <s v="No"/>
    <n v="0"/>
    <n v="2"/>
    <n v="3"/>
  </r>
  <r>
    <n v="3446"/>
    <s v="Diogo Martins"/>
    <x v="0"/>
    <x v="214"/>
    <x v="0"/>
    <n v="15"/>
    <x v="1"/>
    <x v="0"/>
    <x v="0"/>
    <s v="Yes"/>
    <n v="20"/>
    <n v="5"/>
    <n v="60"/>
  </r>
  <r>
    <n v="3447"/>
    <s v="Elisa Campos"/>
    <x v="2"/>
    <x v="215"/>
    <x v="1"/>
    <n v="10"/>
    <x v="0"/>
    <x v="1"/>
    <x v="1"/>
    <s v="Yes"/>
    <n v="20"/>
    <n v="10"/>
    <n v="20"/>
  </r>
  <r>
    <n v="3448"/>
    <s v="Fabiana Lima"/>
    <x v="1"/>
    <x v="216"/>
    <x v="0"/>
    <n v="5"/>
    <x v="2"/>
    <x v="1"/>
    <x v="1"/>
    <s v="No"/>
    <n v="0"/>
    <n v="0"/>
    <n v="5"/>
  </r>
  <r>
    <n v="3449"/>
    <s v="Gabriel Santos"/>
    <x v="0"/>
    <x v="217"/>
    <x v="1"/>
    <n v="15"/>
    <x v="0"/>
    <x v="0"/>
    <x v="0"/>
    <s v="Yes"/>
    <n v="20"/>
    <n v="3"/>
    <n v="62"/>
  </r>
  <r>
    <n v="3450"/>
    <s v="Helena Ferreira"/>
    <x v="2"/>
    <x v="218"/>
    <x v="0"/>
    <n v="10"/>
    <x v="1"/>
    <x v="1"/>
    <x v="1"/>
    <s v="Yes"/>
    <n v="20"/>
    <n v="15"/>
    <n v="15"/>
  </r>
  <r>
    <n v="3451"/>
    <s v="Ígor Nunes"/>
    <x v="1"/>
    <x v="219"/>
    <x v="1"/>
    <n v="5"/>
    <x v="0"/>
    <x v="1"/>
    <x v="1"/>
    <s v="No"/>
    <n v="0"/>
    <n v="1"/>
    <n v="4"/>
  </r>
  <r>
    <n v="3452"/>
    <s v="Joana Silveira"/>
    <x v="0"/>
    <x v="220"/>
    <x v="0"/>
    <n v="15"/>
    <x v="2"/>
    <x v="0"/>
    <x v="0"/>
    <s v="Yes"/>
    <n v="20"/>
    <n v="7"/>
    <n v="58"/>
  </r>
  <r>
    <n v="3453"/>
    <s v="Kléber Oliveira"/>
    <x v="2"/>
    <x v="221"/>
    <x v="1"/>
    <n v="10"/>
    <x v="0"/>
    <x v="1"/>
    <x v="1"/>
    <s v="Yes"/>
    <n v="20"/>
    <n v="10"/>
    <n v="20"/>
  </r>
  <r>
    <n v="3454"/>
    <s v="Luciana Morais"/>
    <x v="1"/>
    <x v="222"/>
    <x v="0"/>
    <n v="5"/>
    <x v="1"/>
    <x v="1"/>
    <x v="1"/>
    <s v="No"/>
    <n v="0"/>
    <n v="0"/>
    <n v="5"/>
  </r>
  <r>
    <n v="3455"/>
    <s v="Marcos Vinícius"/>
    <x v="0"/>
    <x v="223"/>
    <x v="1"/>
    <n v="15"/>
    <x v="0"/>
    <x v="0"/>
    <x v="0"/>
    <s v="Yes"/>
    <n v="20"/>
    <n v="20"/>
    <n v="45"/>
  </r>
  <r>
    <n v="3456"/>
    <s v="Natália Barros"/>
    <x v="2"/>
    <x v="224"/>
    <x v="0"/>
    <n v="10"/>
    <x v="2"/>
    <x v="1"/>
    <x v="1"/>
    <s v="Yes"/>
    <n v="20"/>
    <n v="15"/>
    <n v="15"/>
  </r>
  <r>
    <n v="3457"/>
    <s v="Oscar Sampaio"/>
    <x v="1"/>
    <x v="225"/>
    <x v="1"/>
    <n v="5"/>
    <x v="0"/>
    <x v="1"/>
    <x v="1"/>
    <s v="No"/>
    <n v="0"/>
    <n v="1"/>
    <n v="4"/>
  </r>
  <r>
    <n v="3458"/>
    <s v="Patrícia Leite"/>
    <x v="0"/>
    <x v="226"/>
    <x v="0"/>
    <n v="15"/>
    <x v="1"/>
    <x v="0"/>
    <x v="0"/>
    <s v="Yes"/>
    <n v="20"/>
    <n v="3"/>
    <n v="62"/>
  </r>
  <r>
    <n v="3459"/>
    <s v="Quênia Rocha"/>
    <x v="2"/>
    <x v="227"/>
    <x v="1"/>
    <n v="10"/>
    <x v="0"/>
    <x v="1"/>
    <x v="1"/>
    <s v="Yes"/>
    <n v="20"/>
    <n v="10"/>
    <n v="20"/>
  </r>
  <r>
    <n v="3460"/>
    <s v="Rafael Torres"/>
    <x v="1"/>
    <x v="228"/>
    <x v="0"/>
    <n v="5"/>
    <x v="2"/>
    <x v="1"/>
    <x v="1"/>
    <s v="No"/>
    <n v="0"/>
    <n v="0"/>
    <n v="5"/>
  </r>
  <r>
    <n v="3461"/>
    <s v="Sandra Gouveia"/>
    <x v="0"/>
    <x v="229"/>
    <x v="1"/>
    <n v="15"/>
    <x v="0"/>
    <x v="0"/>
    <x v="0"/>
    <s v="Yes"/>
    <n v="20"/>
    <n v="15"/>
    <n v="50"/>
  </r>
  <r>
    <n v="3462"/>
    <s v="Tiago Lacerda"/>
    <x v="2"/>
    <x v="230"/>
    <x v="0"/>
    <n v="10"/>
    <x v="1"/>
    <x v="1"/>
    <x v="1"/>
    <s v="Yes"/>
    <n v="20"/>
    <n v="15"/>
    <n v="15"/>
  </r>
  <r>
    <n v="3463"/>
    <s v="Ursula Fonseca"/>
    <x v="1"/>
    <x v="231"/>
    <x v="1"/>
    <n v="5"/>
    <x v="0"/>
    <x v="1"/>
    <x v="1"/>
    <s v="No"/>
    <n v="0"/>
    <n v="1"/>
    <n v="4"/>
  </r>
  <r>
    <n v="3464"/>
    <s v="Vanessa Andrade"/>
    <x v="0"/>
    <x v="232"/>
    <x v="0"/>
    <n v="15"/>
    <x v="2"/>
    <x v="0"/>
    <x v="0"/>
    <s v="Yes"/>
    <n v="20"/>
    <n v="7"/>
    <n v="58"/>
  </r>
  <r>
    <n v="3465"/>
    <s v="William Castro"/>
    <x v="2"/>
    <x v="233"/>
    <x v="1"/>
    <n v="10"/>
    <x v="0"/>
    <x v="1"/>
    <x v="1"/>
    <s v="Yes"/>
    <n v="20"/>
    <n v="10"/>
    <n v="20"/>
  </r>
  <r>
    <n v="3466"/>
    <s v="Xavier Monteiro"/>
    <x v="1"/>
    <x v="234"/>
    <x v="0"/>
    <n v="5"/>
    <x v="1"/>
    <x v="1"/>
    <x v="1"/>
    <s v="No"/>
    <n v="0"/>
    <n v="0"/>
    <n v="5"/>
  </r>
  <r>
    <n v="3467"/>
    <s v="Yasmin Figueira"/>
    <x v="0"/>
    <x v="235"/>
    <x v="1"/>
    <n v="15"/>
    <x v="0"/>
    <x v="0"/>
    <x v="0"/>
    <s v="Yes"/>
    <n v="20"/>
    <n v="15"/>
    <n v="50"/>
  </r>
  <r>
    <n v="3468"/>
    <s v="Zacarias Mendonça"/>
    <x v="2"/>
    <x v="236"/>
    <x v="0"/>
    <n v="10"/>
    <x v="2"/>
    <x v="1"/>
    <x v="1"/>
    <s v="Yes"/>
    <n v="20"/>
    <n v="12"/>
    <n v="18"/>
  </r>
  <r>
    <n v="3469"/>
    <s v="Amanda Menezes"/>
    <x v="1"/>
    <x v="237"/>
    <x v="1"/>
    <n v="5"/>
    <x v="0"/>
    <x v="1"/>
    <x v="1"/>
    <s v="No"/>
    <n v="0"/>
    <n v="2"/>
    <n v="3"/>
  </r>
  <r>
    <n v="3470"/>
    <s v="Bruno Santos"/>
    <x v="0"/>
    <x v="238"/>
    <x v="0"/>
    <n v="15"/>
    <x v="1"/>
    <x v="0"/>
    <x v="0"/>
    <s v="Yes"/>
    <n v="20"/>
    <n v="5"/>
    <n v="60"/>
  </r>
  <r>
    <n v="3471"/>
    <s v="Carla Ferreira"/>
    <x v="2"/>
    <x v="239"/>
    <x v="1"/>
    <n v="10"/>
    <x v="0"/>
    <x v="1"/>
    <x v="1"/>
    <s v="Yes"/>
    <n v="20"/>
    <n v="10"/>
    <n v="20"/>
  </r>
  <r>
    <n v="3472"/>
    <s v="Diogo Alves"/>
    <x v="1"/>
    <x v="240"/>
    <x v="0"/>
    <n v="5"/>
    <x v="2"/>
    <x v="1"/>
    <x v="1"/>
    <s v="No"/>
    <n v="0"/>
    <n v="0"/>
    <n v="5"/>
  </r>
  <r>
    <n v="3473"/>
    <s v="Elisa Neves"/>
    <x v="0"/>
    <x v="241"/>
    <x v="1"/>
    <n v="15"/>
    <x v="0"/>
    <x v="0"/>
    <x v="0"/>
    <s v="Yes"/>
    <n v="20"/>
    <n v="3"/>
    <n v="62"/>
  </r>
  <r>
    <n v="3474"/>
    <s v="Fabiano Pires"/>
    <x v="2"/>
    <x v="242"/>
    <x v="0"/>
    <n v="10"/>
    <x v="1"/>
    <x v="1"/>
    <x v="1"/>
    <s v="Yes"/>
    <n v="20"/>
    <n v="15"/>
    <n v="15"/>
  </r>
  <r>
    <n v="3475"/>
    <s v="Giovana Ribeiro"/>
    <x v="1"/>
    <x v="243"/>
    <x v="1"/>
    <n v="5"/>
    <x v="0"/>
    <x v="1"/>
    <x v="1"/>
    <s v="No"/>
    <n v="0"/>
    <n v="1"/>
    <n v="4"/>
  </r>
  <r>
    <n v="3476"/>
    <s v="Hélio Costa"/>
    <x v="0"/>
    <x v="244"/>
    <x v="0"/>
    <n v="15"/>
    <x v="2"/>
    <x v="0"/>
    <x v="0"/>
    <s v="Yes"/>
    <n v="20"/>
    <n v="7"/>
    <n v="58"/>
  </r>
  <r>
    <n v="3477"/>
    <s v="Íris Loureiro"/>
    <x v="2"/>
    <x v="245"/>
    <x v="1"/>
    <n v="10"/>
    <x v="0"/>
    <x v="1"/>
    <x v="1"/>
    <s v="Yes"/>
    <n v="20"/>
    <n v="10"/>
    <n v="20"/>
  </r>
  <r>
    <n v="3478"/>
    <s v="João Pereira"/>
    <x v="1"/>
    <x v="246"/>
    <x v="0"/>
    <n v="5"/>
    <x v="1"/>
    <x v="1"/>
    <x v="1"/>
    <s v="No"/>
    <n v="0"/>
    <n v="0"/>
    <n v="5"/>
  </r>
  <r>
    <n v="3479"/>
    <s v="Klara Silva"/>
    <x v="0"/>
    <x v="247"/>
    <x v="1"/>
    <n v="15"/>
    <x v="0"/>
    <x v="0"/>
    <x v="0"/>
    <s v="Yes"/>
    <n v="20"/>
    <n v="20"/>
    <n v="45"/>
  </r>
  <r>
    <n v="3480"/>
    <s v="Luciana Barros"/>
    <x v="2"/>
    <x v="248"/>
    <x v="0"/>
    <n v="10"/>
    <x v="2"/>
    <x v="1"/>
    <x v="1"/>
    <s v="Yes"/>
    <n v="20"/>
    <n v="15"/>
    <n v="15"/>
  </r>
  <r>
    <n v="3481"/>
    <s v="Marcos Gomes"/>
    <x v="1"/>
    <x v="249"/>
    <x v="1"/>
    <n v="5"/>
    <x v="0"/>
    <x v="1"/>
    <x v="1"/>
    <s v="No"/>
    <n v="0"/>
    <n v="1"/>
    <n v="4"/>
  </r>
  <r>
    <n v="3482"/>
    <s v="Natália Soares"/>
    <x v="0"/>
    <x v="250"/>
    <x v="0"/>
    <n v="15"/>
    <x v="1"/>
    <x v="0"/>
    <x v="0"/>
    <s v="Yes"/>
    <n v="20"/>
    <n v="3"/>
    <n v="62"/>
  </r>
  <r>
    <n v="3483"/>
    <s v="Oscar Machado"/>
    <x v="2"/>
    <x v="251"/>
    <x v="1"/>
    <n v="10"/>
    <x v="0"/>
    <x v="1"/>
    <x v="1"/>
    <s v="Yes"/>
    <n v="20"/>
    <n v="10"/>
    <n v="20"/>
  </r>
  <r>
    <n v="3484"/>
    <s v="Patrícia Lima"/>
    <x v="1"/>
    <x v="252"/>
    <x v="0"/>
    <n v="5"/>
    <x v="2"/>
    <x v="1"/>
    <x v="1"/>
    <s v="No"/>
    <n v="0"/>
    <n v="0"/>
    <n v="5"/>
  </r>
  <r>
    <n v="3485"/>
    <s v="Quirino Neto"/>
    <x v="0"/>
    <x v="253"/>
    <x v="1"/>
    <n v="15"/>
    <x v="0"/>
    <x v="0"/>
    <x v="0"/>
    <s v="Yes"/>
    <n v="20"/>
    <n v="15"/>
    <n v="50"/>
  </r>
  <r>
    <n v="3486"/>
    <s v="Rafaela Souza"/>
    <x v="1"/>
    <x v="254"/>
    <x v="0"/>
    <n v="5"/>
    <x v="0"/>
    <x v="1"/>
    <x v="1"/>
    <s v="No"/>
    <n v="0"/>
    <n v="0"/>
    <n v="5"/>
  </r>
  <r>
    <n v="3487"/>
    <s v="Sandro Almeida"/>
    <x v="0"/>
    <x v="255"/>
    <x v="1"/>
    <n v="15"/>
    <x v="2"/>
    <x v="0"/>
    <x v="0"/>
    <s v="Yes"/>
    <n v="20"/>
    <n v="7"/>
    <n v="58"/>
  </r>
  <r>
    <n v="3488"/>
    <s v="Tânia Ribeiro"/>
    <x v="2"/>
    <x v="256"/>
    <x v="0"/>
    <n v="10"/>
    <x v="1"/>
    <x v="1"/>
    <x v="1"/>
    <s v="Yes"/>
    <n v="20"/>
    <n v="10"/>
    <n v="20"/>
  </r>
  <r>
    <n v="3489"/>
    <s v="Ugo Dias"/>
    <x v="1"/>
    <x v="257"/>
    <x v="1"/>
    <n v="5"/>
    <x v="2"/>
    <x v="1"/>
    <x v="1"/>
    <s v="No"/>
    <n v="0"/>
    <n v="1"/>
    <n v="4"/>
  </r>
  <r>
    <n v="3490"/>
    <s v="Valéria Lima"/>
    <x v="0"/>
    <x v="258"/>
    <x v="0"/>
    <n v="15"/>
    <x v="0"/>
    <x v="0"/>
    <x v="0"/>
    <s v="Yes"/>
    <n v="20"/>
    <n v="15"/>
    <n v="50"/>
  </r>
  <r>
    <n v="3491"/>
    <s v="William Fernandes"/>
    <x v="2"/>
    <x v="259"/>
    <x v="1"/>
    <n v="10"/>
    <x v="0"/>
    <x v="1"/>
    <x v="1"/>
    <s v="Yes"/>
    <n v="20"/>
    <n v="5"/>
    <n v="25"/>
  </r>
  <r>
    <n v="3492"/>
    <s v="Xuxa Mendes"/>
    <x v="1"/>
    <x v="260"/>
    <x v="0"/>
    <n v="5"/>
    <x v="1"/>
    <x v="1"/>
    <x v="1"/>
    <s v="No"/>
    <n v="0"/>
    <n v="0"/>
    <n v="5"/>
  </r>
  <r>
    <n v="3493"/>
    <s v="Ygor Farias"/>
    <x v="0"/>
    <x v="261"/>
    <x v="1"/>
    <n v="15"/>
    <x v="2"/>
    <x v="0"/>
    <x v="0"/>
    <s v="Yes"/>
    <n v="20"/>
    <n v="20"/>
    <n v="45"/>
  </r>
  <r>
    <n v="3494"/>
    <s v="Zilda Barros"/>
    <x v="2"/>
    <x v="262"/>
    <x v="0"/>
    <n v="10"/>
    <x v="2"/>
    <x v="1"/>
    <x v="1"/>
    <s v="Yes"/>
    <n v="20"/>
    <n v="12"/>
    <n v="18"/>
  </r>
  <r>
    <n v="3495"/>
    <s v="Amanda Santos"/>
    <x v="1"/>
    <x v="263"/>
    <x v="1"/>
    <n v="5"/>
    <x v="0"/>
    <x v="1"/>
    <x v="1"/>
    <s v="No"/>
    <n v="0"/>
    <n v="2"/>
    <n v="3"/>
  </r>
  <r>
    <n v="3496"/>
    <s v="Bruno Costa"/>
    <x v="0"/>
    <x v="264"/>
    <x v="0"/>
    <n v="15"/>
    <x v="1"/>
    <x v="0"/>
    <x v="0"/>
    <s v="Yes"/>
    <n v="20"/>
    <n v="5"/>
    <n v="60"/>
  </r>
  <r>
    <n v="3497"/>
    <s v="Carla Rodrigues"/>
    <x v="2"/>
    <x v="265"/>
    <x v="1"/>
    <n v="10"/>
    <x v="0"/>
    <x v="1"/>
    <x v="1"/>
    <s v="Yes"/>
    <n v="20"/>
    <n v="10"/>
    <n v="20"/>
  </r>
  <r>
    <n v="3498"/>
    <s v="Diogo Pereira"/>
    <x v="1"/>
    <x v="266"/>
    <x v="0"/>
    <n v="5"/>
    <x v="2"/>
    <x v="1"/>
    <x v="1"/>
    <s v="No"/>
    <n v="0"/>
    <n v="0"/>
    <n v="5"/>
  </r>
  <r>
    <n v="3499"/>
    <s v="Elisa Correia"/>
    <x v="0"/>
    <x v="267"/>
    <x v="1"/>
    <n v="15"/>
    <x v="0"/>
    <x v="0"/>
    <x v="0"/>
    <s v="Yes"/>
    <n v="20"/>
    <n v="3"/>
    <n v="62"/>
  </r>
  <r>
    <n v="3500"/>
    <s v="Fábio Lourenço"/>
    <x v="2"/>
    <x v="268"/>
    <x v="0"/>
    <n v="10"/>
    <x v="1"/>
    <x v="1"/>
    <x v="1"/>
    <s v="Yes"/>
    <n v="20"/>
    <n v="15"/>
    <n v="15"/>
  </r>
  <r>
    <n v="3501"/>
    <s v="Gabriela Neves"/>
    <x v="1"/>
    <x v="269"/>
    <x v="1"/>
    <n v="5"/>
    <x v="0"/>
    <x v="1"/>
    <x v="1"/>
    <s v="No"/>
    <n v="0"/>
    <n v="1"/>
    <n v="4"/>
  </r>
  <r>
    <n v="3502"/>
    <s v="Henrique Gonçalves"/>
    <x v="0"/>
    <x v="270"/>
    <x v="0"/>
    <n v="15"/>
    <x v="2"/>
    <x v="0"/>
    <x v="0"/>
    <s v="Yes"/>
    <n v="20"/>
    <n v="7"/>
    <n v="58"/>
  </r>
  <r>
    <n v="3503"/>
    <s v="Íris Santos"/>
    <x v="2"/>
    <x v="271"/>
    <x v="1"/>
    <n v="10"/>
    <x v="0"/>
    <x v="1"/>
    <x v="1"/>
    <s v="Yes"/>
    <n v="20"/>
    <n v="10"/>
    <n v="20"/>
  </r>
  <r>
    <n v="3504"/>
    <s v="João Marcelo Alves"/>
    <x v="1"/>
    <x v="272"/>
    <x v="0"/>
    <n v="5"/>
    <x v="1"/>
    <x v="1"/>
    <x v="1"/>
    <s v="No"/>
    <n v="0"/>
    <n v="0"/>
    <n v="5"/>
  </r>
  <r>
    <n v="3505"/>
    <s v="Klara Fonseca"/>
    <x v="0"/>
    <x v="273"/>
    <x v="1"/>
    <n v="15"/>
    <x v="0"/>
    <x v="0"/>
    <x v="0"/>
    <s v="Yes"/>
    <n v="20"/>
    <n v="20"/>
    <n v="45"/>
  </r>
  <r>
    <n v="3506"/>
    <s v="Lucas Mendonça"/>
    <x v="2"/>
    <x v="274"/>
    <x v="0"/>
    <n v="10"/>
    <x v="2"/>
    <x v="1"/>
    <x v="1"/>
    <s v="Yes"/>
    <n v="20"/>
    <n v="15"/>
    <n v="15"/>
  </r>
  <r>
    <n v="3507"/>
    <s v="Marcela Torres"/>
    <x v="1"/>
    <x v="275"/>
    <x v="1"/>
    <n v="5"/>
    <x v="0"/>
    <x v="1"/>
    <x v="1"/>
    <s v="No"/>
    <n v="0"/>
    <n v="1"/>
    <n v="4"/>
  </r>
  <r>
    <n v="3508"/>
    <s v="Natália Castro"/>
    <x v="0"/>
    <x v="276"/>
    <x v="0"/>
    <n v="15"/>
    <x v="1"/>
    <x v="0"/>
    <x v="0"/>
    <s v="Yes"/>
    <n v="20"/>
    <n v="3"/>
    <n v="62"/>
  </r>
  <r>
    <n v="3509"/>
    <s v="Oscar Martins"/>
    <x v="2"/>
    <x v="277"/>
    <x v="1"/>
    <n v="10"/>
    <x v="0"/>
    <x v="1"/>
    <x v="1"/>
    <s v="Yes"/>
    <n v="20"/>
    <n v="10"/>
    <n v="20"/>
  </r>
  <r>
    <n v="3510"/>
    <s v="Patrícia Oliveira"/>
    <x v="1"/>
    <x v="278"/>
    <x v="0"/>
    <n v="5"/>
    <x v="2"/>
    <x v="1"/>
    <x v="1"/>
    <s v="No"/>
    <n v="0"/>
    <n v="0"/>
    <n v="5"/>
  </r>
  <r>
    <n v="3511"/>
    <s v="Quentin Nogueira"/>
    <x v="0"/>
    <x v="279"/>
    <x v="1"/>
    <n v="15"/>
    <x v="0"/>
    <x v="0"/>
    <x v="0"/>
    <s v="Yes"/>
    <n v="20"/>
    <n v="15"/>
    <n v="50"/>
  </r>
  <r>
    <n v="3512"/>
    <s v="Raquel Silva"/>
    <x v="2"/>
    <x v="280"/>
    <x v="0"/>
    <n v="10"/>
    <x v="1"/>
    <x v="1"/>
    <x v="1"/>
    <s v="Yes"/>
    <n v="20"/>
    <n v="15"/>
    <n v="15"/>
  </r>
  <r>
    <n v="3513"/>
    <s v="Sandro Gomes"/>
    <x v="1"/>
    <x v="281"/>
    <x v="1"/>
    <n v="5"/>
    <x v="0"/>
    <x v="1"/>
    <x v="1"/>
    <s v="No"/>
    <n v="0"/>
    <n v="1"/>
    <n v="4"/>
  </r>
  <r>
    <n v="3514"/>
    <s v="Tânia Machado"/>
    <x v="0"/>
    <x v="282"/>
    <x v="0"/>
    <n v="15"/>
    <x v="2"/>
    <x v="0"/>
    <x v="0"/>
    <s v="Yes"/>
    <n v="20"/>
    <n v="7"/>
    <n v="58"/>
  </r>
  <r>
    <n v="3515"/>
    <s v="Ursula Silva"/>
    <x v="2"/>
    <x v="283"/>
    <x v="1"/>
    <n v="10"/>
    <x v="0"/>
    <x v="1"/>
    <x v="1"/>
    <s v="Yes"/>
    <n v="20"/>
    <n v="10"/>
    <n v="20"/>
  </r>
  <r>
    <n v="3516"/>
    <s v="Vanessa Moraes"/>
    <x v="1"/>
    <x v="284"/>
    <x v="0"/>
    <n v="5"/>
    <x v="1"/>
    <x v="1"/>
    <x v="1"/>
    <s v="No"/>
    <n v="0"/>
    <n v="0"/>
    <n v="5"/>
  </r>
  <r>
    <n v="3517"/>
    <s v="William Carvalho"/>
    <x v="0"/>
    <x v="285"/>
    <x v="1"/>
    <n v="15"/>
    <x v="0"/>
    <x v="0"/>
    <x v="0"/>
    <s v="Yes"/>
    <n v="20"/>
    <n v="20"/>
    <n v="45"/>
  </r>
  <r>
    <n v="3518"/>
    <s v="Xavier Reis"/>
    <x v="2"/>
    <x v="286"/>
    <x v="0"/>
    <n v="10"/>
    <x v="2"/>
    <x v="1"/>
    <x v="1"/>
    <s v="Yes"/>
    <n v="20"/>
    <n v="12"/>
    <n v="18"/>
  </r>
  <r>
    <n v="3519"/>
    <s v="Yasmin Rocha"/>
    <x v="1"/>
    <x v="287"/>
    <x v="1"/>
    <n v="5"/>
    <x v="0"/>
    <x v="1"/>
    <x v="1"/>
    <s v="No"/>
    <n v="0"/>
    <n v="2"/>
    <n v="3"/>
  </r>
  <r>
    <n v="3520"/>
    <s v="Zacarias Duarte"/>
    <x v="0"/>
    <x v="288"/>
    <x v="0"/>
    <n v="15"/>
    <x v="1"/>
    <x v="0"/>
    <x v="0"/>
    <s v="Yes"/>
    <n v="20"/>
    <n v="5"/>
    <n v="60"/>
  </r>
  <r>
    <n v="3521"/>
    <s v="Amanda Freitas"/>
    <x v="2"/>
    <x v="289"/>
    <x v="1"/>
    <n v="10"/>
    <x v="0"/>
    <x v="1"/>
    <x v="1"/>
    <s v="Yes"/>
    <n v="20"/>
    <n v="10"/>
    <n v="20"/>
  </r>
  <r>
    <n v="3522"/>
    <s v="Bruno Almeida"/>
    <x v="1"/>
    <x v="290"/>
    <x v="0"/>
    <n v="5"/>
    <x v="2"/>
    <x v="1"/>
    <x v="1"/>
    <s v="No"/>
    <n v="0"/>
    <n v="0"/>
    <n v="5"/>
  </r>
  <r>
    <n v="3523"/>
    <s v="Carla Siqueira"/>
    <x v="0"/>
    <x v="291"/>
    <x v="1"/>
    <n v="15"/>
    <x v="0"/>
    <x v="0"/>
    <x v="0"/>
    <s v="Yes"/>
    <n v="20"/>
    <n v="3"/>
    <n v="62"/>
  </r>
  <r>
    <n v="3524"/>
    <s v="Diogo Ramos"/>
    <x v="2"/>
    <x v="292"/>
    <x v="0"/>
    <n v="10"/>
    <x v="1"/>
    <x v="1"/>
    <x v="1"/>
    <s v="Yes"/>
    <n v="20"/>
    <n v="15"/>
    <n v="15"/>
  </r>
  <r>
    <n v="3525"/>
    <s v="Elisa Magalhães"/>
    <x v="1"/>
    <x v="293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FD49B-EF40-4A6E-9387-6AEF72CDD8AB}" name="tbl_minecraaft_price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0:D4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164"/>
  </dataFields>
  <formats count="7">
    <format dxfId="193">
      <pivotArea outline="0" collapsedLevelsAreSubtotals="1" fieldPosition="0"/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2" type="button" dataOnly="0" labelOnly="1" outline="0" axis="axisRow" fieldPosition="0"/>
    </format>
    <format dxfId="150">
      <pivotArea dataOnly="0" labelOnly="1" fieldPosition="0">
        <references count="1">
          <reference field="2" count="0"/>
        </references>
      </pivotArea>
    </format>
    <format dxfId="149">
      <pivotArea dataOnly="0" labelOnly="1" grandRow="1" outline="0" fieldPosition="0"/>
    </format>
    <format dxfId="1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40E67-38DC-44D2-B38A-057E42F97C8E}" name="tbl_easeasonpass_total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1:D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6"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2" type="button" dataOnly="0" labelOnly="1" outline="0" axis="axisRow" fieldPosition="0"/>
    </format>
    <format dxfId="196">
      <pivotArea dataOnly="0" labelOnly="1" fieldPosition="0">
        <references count="1">
          <reference field="2" count="0"/>
        </references>
      </pivotArea>
    </format>
    <format dxfId="195">
      <pivotArea dataOnly="0" labelOnly="1" grandRow="1" outline="0" fieldPosition="0"/>
    </format>
    <format dxfId="19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4CD23-5BA7-40B7-8091-2A2BE315590C}" name="Tabela dinâ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C12:D15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7">
    <format dxfId="200">
      <pivotArea outline="0" collapsedLevelsAreSubtotals="1" fieldPosition="0"/>
    </format>
    <format dxfId="201">
      <pivotArea type="all" dataOnly="0" outline="0" fieldPosition="0"/>
    </format>
    <format dxfId="202">
      <pivotArea outline="0" collapsedLevelsAreSubtotals="1" fieldPosition="0"/>
    </format>
    <format dxfId="203">
      <pivotArea field="4" type="button" dataOnly="0" labelOnly="1" outline="0" axis="axisRow" fieldPosition="0"/>
    </format>
    <format dxfId="204">
      <pivotArea dataOnly="0" labelOnly="1" fieldPosition="0">
        <references count="1">
          <reference field="4" count="0"/>
        </references>
      </pivotArea>
    </format>
    <format dxfId="205">
      <pivotArea dataOnly="0" labelOnly="1" grandRow="1" outline="0" fieldPosition="0"/>
    </format>
    <format dxfId="20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4AF790C-14DD-4C6B-8141-85D51E9EA301}" sourceName="Subscription Type">
  <pivotTables>
    <pivotTable tabId="3" name="Tabela dinâmica2"/>
    <pivotTable tabId="3" name="tbl_easeasonpass_total"/>
    <pivotTable tabId="3" name="tbl_minecraaft_price"/>
  </pivotTables>
  <data>
    <tabular pivotCacheId="196395629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2E6A3BA-74B8-46EB-B08C-3DA3893CFF5B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24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23"/>
    <tableColumn id="2" xr3:uid="{53DD39D0-2220-4121-9E9D-4EAA7E151C0F}" name="Name" dataDxfId="222"/>
    <tableColumn id="3" xr3:uid="{4F5FF271-4C57-4BE0-8F2C-F82C8551625C}" name="Plan" dataDxfId="221"/>
    <tableColumn id="4" xr3:uid="{8C17EB93-79B9-4E55-B8F7-BEB82F8253E9}" name="Start Date" dataDxfId="220"/>
    <tableColumn id="5" xr3:uid="{48CEDF9B-1689-482A-A828-5CCE7713264A}" name="Auto Renewal" dataDxfId="219"/>
    <tableColumn id="6" xr3:uid="{78B82374-9AA7-4E38-AE4F-78CDE6C83720}" name="Subscription Price" dataDxfId="218" dataCellStyle="Moeda"/>
    <tableColumn id="7" xr3:uid="{F2433F68-AF33-49D0-B1FB-19A396074EDE}" name="Subscription Type" dataDxfId="217"/>
    <tableColumn id="8" xr3:uid="{FD4D9C95-F6E5-4933-9068-A71FF7DF9343}" name="EA Play Season Pass" dataDxfId="216"/>
    <tableColumn id="13" xr3:uid="{978DD0D2-834E-4CE4-A39B-30976086932F}" name="EA Play Season Pass_x000a_Price" dataDxfId="215" dataCellStyle="Moeda"/>
    <tableColumn id="9" xr3:uid="{6E29F111-C395-4580-9DAD-3407D9E8B1A4}" name="Minecraft Season Pass" dataDxfId="214"/>
    <tableColumn id="10" xr3:uid="{EF544EAA-7F25-4FD5-A10E-8E62804DB9E3}" name="Minecraft Season Pass Price" dataDxfId="213" dataCellStyle="Moeda"/>
    <tableColumn id="11" xr3:uid="{7F6EB64A-1F07-4E48-9F0F-AC7D9DCD26F8}" name="Coupon Value" dataDxfId="212" dataCellStyle="Moeda"/>
    <tableColumn id="12" xr3:uid="{2B04ABC8-DE6F-426E-ADC0-D8AFC68CA58E}" name="Total Value" dataDxfId="21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5" x14ac:dyDescent="0.25"/>
  <cols>
    <col min="1" max="1" width="17.85546875" style="14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style="17" bestFit="1" customWidth="1"/>
    <col min="7" max="7" width="22" bestFit="1" customWidth="1"/>
    <col min="8" max="8" width="20.5703125" bestFit="1" customWidth="1"/>
    <col min="9" max="9" width="20.5703125" style="17" customWidth="1"/>
    <col min="10" max="10" width="16.7109375" bestFit="1" customWidth="1"/>
    <col min="11" max="11" width="21.28515625" style="17" bestFit="1" customWidth="1"/>
    <col min="12" max="12" width="12.7109375" style="17" bestFit="1" customWidth="1"/>
    <col min="13" max="13" width="10.5703125" style="17" bestFit="1" customWidth="1"/>
  </cols>
  <sheetData>
    <row r="1" spans="1:13" ht="30" x14ac:dyDescent="0.25">
      <c r="A1" s="12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16" t="s">
        <v>312</v>
      </c>
      <c r="G1" s="9" t="s">
        <v>16</v>
      </c>
      <c r="H1" s="9" t="s">
        <v>309</v>
      </c>
      <c r="I1" s="16" t="s">
        <v>310</v>
      </c>
      <c r="J1" s="9" t="s">
        <v>30</v>
      </c>
      <c r="K1" s="16" t="s">
        <v>31</v>
      </c>
      <c r="L1" s="16" t="s">
        <v>32</v>
      </c>
      <c r="M1" s="16" t="s">
        <v>33</v>
      </c>
    </row>
    <row r="2" spans="1:13" ht="16.5" customHeight="1" x14ac:dyDescent="0.25">
      <c r="A2" s="13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5">
        <v>15</v>
      </c>
      <c r="G2" s="8" t="s">
        <v>20</v>
      </c>
      <c r="H2" s="8" t="s">
        <v>19</v>
      </c>
      <c r="I2" s="15">
        <v>30</v>
      </c>
      <c r="J2" s="8" t="s">
        <v>19</v>
      </c>
      <c r="K2" s="15">
        <v>20</v>
      </c>
      <c r="L2" s="15">
        <v>5</v>
      </c>
      <c r="M2" s="15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13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5">
        <v>15</v>
      </c>
      <c r="G5" s="8" t="s">
        <v>20</v>
      </c>
      <c r="H5" s="8" t="s">
        <v>19</v>
      </c>
      <c r="I5" s="15">
        <v>30</v>
      </c>
      <c r="J5" s="8" t="s">
        <v>19</v>
      </c>
      <c r="K5" s="15">
        <v>20</v>
      </c>
      <c r="L5" s="15">
        <v>3</v>
      </c>
      <c r="M5" s="15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13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5">
        <v>15</v>
      </c>
      <c r="G8" s="8" t="s">
        <v>27</v>
      </c>
      <c r="H8" s="8" t="s">
        <v>19</v>
      </c>
      <c r="I8" s="15">
        <v>30</v>
      </c>
      <c r="J8" s="8" t="s">
        <v>19</v>
      </c>
      <c r="K8" s="15">
        <v>20</v>
      </c>
      <c r="L8" s="15">
        <v>10</v>
      </c>
      <c r="M8" s="15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13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5">
        <v>15</v>
      </c>
      <c r="G10" s="8" t="s">
        <v>20</v>
      </c>
      <c r="H10" s="8" t="s">
        <v>19</v>
      </c>
      <c r="I10" s="15">
        <v>30</v>
      </c>
      <c r="J10" s="8" t="s">
        <v>19</v>
      </c>
      <c r="K10" s="15">
        <v>20</v>
      </c>
      <c r="L10" s="15">
        <v>5</v>
      </c>
      <c r="M10" s="15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13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5">
        <v>15</v>
      </c>
      <c r="G13" s="8" t="s">
        <v>24</v>
      </c>
      <c r="H13" s="8" t="s">
        <v>19</v>
      </c>
      <c r="I13" s="15">
        <v>30</v>
      </c>
      <c r="J13" s="8" t="s">
        <v>19</v>
      </c>
      <c r="K13" s="15">
        <v>20</v>
      </c>
      <c r="L13" s="15">
        <v>20</v>
      </c>
      <c r="M13" s="15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13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5">
        <v>15</v>
      </c>
      <c r="G16" s="8" t="s">
        <v>20</v>
      </c>
      <c r="H16" s="8" t="s">
        <v>19</v>
      </c>
      <c r="I16" s="15">
        <v>30</v>
      </c>
      <c r="J16" s="8" t="s">
        <v>19</v>
      </c>
      <c r="K16" s="15">
        <v>20</v>
      </c>
      <c r="L16" s="15">
        <v>8</v>
      </c>
      <c r="M16" s="15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13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5">
        <v>15</v>
      </c>
      <c r="G19" s="8" t="s">
        <v>27</v>
      </c>
      <c r="H19" s="8" t="s">
        <v>19</v>
      </c>
      <c r="I19" s="15">
        <v>30</v>
      </c>
      <c r="J19" s="8" t="s">
        <v>19</v>
      </c>
      <c r="K19" s="15">
        <v>20</v>
      </c>
      <c r="L19" s="15">
        <v>7</v>
      </c>
      <c r="M19" s="15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13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5">
        <v>15</v>
      </c>
      <c r="G22" s="8" t="s">
        <v>20</v>
      </c>
      <c r="H22" s="8" t="s">
        <v>19</v>
      </c>
      <c r="I22" s="15">
        <v>30</v>
      </c>
      <c r="J22" s="8" t="s">
        <v>19</v>
      </c>
      <c r="K22" s="15">
        <v>20</v>
      </c>
      <c r="L22" s="15">
        <v>3</v>
      </c>
      <c r="M22" s="15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13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5">
        <v>15</v>
      </c>
      <c r="G25" s="8" t="s">
        <v>24</v>
      </c>
      <c r="H25" s="8" t="s">
        <v>19</v>
      </c>
      <c r="I25" s="15">
        <v>30</v>
      </c>
      <c r="J25" s="8" t="s">
        <v>19</v>
      </c>
      <c r="K25" s="15">
        <v>20</v>
      </c>
      <c r="L25" s="15">
        <v>20</v>
      </c>
      <c r="M25" s="15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13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5">
        <v>15</v>
      </c>
      <c r="G28" s="8" t="s">
        <v>20</v>
      </c>
      <c r="H28" s="8" t="s">
        <v>19</v>
      </c>
      <c r="I28" s="15">
        <v>30</v>
      </c>
      <c r="J28" s="8" t="s">
        <v>19</v>
      </c>
      <c r="K28" s="15">
        <v>20</v>
      </c>
      <c r="L28" s="15">
        <v>5</v>
      </c>
      <c r="M28" s="15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13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5">
        <v>15</v>
      </c>
      <c r="G31" s="8" t="s">
        <v>27</v>
      </c>
      <c r="H31" s="8" t="s">
        <v>19</v>
      </c>
      <c r="I31" s="15">
        <v>30</v>
      </c>
      <c r="J31" s="8" t="s">
        <v>19</v>
      </c>
      <c r="K31" s="15">
        <v>20</v>
      </c>
      <c r="L31" s="15">
        <v>7</v>
      </c>
      <c r="M31" s="15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13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5">
        <v>15</v>
      </c>
      <c r="G34" s="8" t="s">
        <v>20</v>
      </c>
      <c r="H34" s="8" t="s">
        <v>19</v>
      </c>
      <c r="I34" s="15">
        <v>30</v>
      </c>
      <c r="J34" s="8" t="s">
        <v>19</v>
      </c>
      <c r="K34" s="15">
        <v>20</v>
      </c>
      <c r="L34" s="15">
        <v>3</v>
      </c>
      <c r="M34" s="15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13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5">
        <v>15</v>
      </c>
      <c r="G38" s="8" t="s">
        <v>27</v>
      </c>
      <c r="H38" s="8" t="s">
        <v>19</v>
      </c>
      <c r="I38" s="15">
        <v>30</v>
      </c>
      <c r="J38" s="8" t="s">
        <v>19</v>
      </c>
      <c r="K38" s="15">
        <v>20</v>
      </c>
      <c r="L38" s="15">
        <v>7</v>
      </c>
      <c r="M38" s="15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13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5">
        <v>15</v>
      </c>
      <c r="G41" s="8" t="s">
        <v>20</v>
      </c>
      <c r="H41" s="8" t="s">
        <v>19</v>
      </c>
      <c r="I41" s="15">
        <v>30</v>
      </c>
      <c r="J41" s="8" t="s">
        <v>19</v>
      </c>
      <c r="K41" s="15">
        <v>20</v>
      </c>
      <c r="L41" s="15">
        <v>15</v>
      </c>
      <c r="M41" s="15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13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5">
        <v>15</v>
      </c>
      <c r="G44" s="8" t="s">
        <v>27</v>
      </c>
      <c r="H44" s="8" t="s">
        <v>19</v>
      </c>
      <c r="I44" s="15">
        <v>30</v>
      </c>
      <c r="J44" s="8" t="s">
        <v>19</v>
      </c>
      <c r="K44" s="15">
        <v>20</v>
      </c>
      <c r="L44" s="15">
        <v>20</v>
      </c>
      <c r="M44" s="15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13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5">
        <v>15</v>
      </c>
      <c r="G47" s="8" t="s">
        <v>24</v>
      </c>
      <c r="H47" s="8" t="s">
        <v>19</v>
      </c>
      <c r="I47" s="15">
        <v>30</v>
      </c>
      <c r="J47" s="8" t="s">
        <v>19</v>
      </c>
      <c r="K47" s="15">
        <v>20</v>
      </c>
      <c r="L47" s="15">
        <v>5</v>
      </c>
      <c r="M47" s="15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13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5">
        <v>15</v>
      </c>
      <c r="G50" s="8" t="s">
        <v>20</v>
      </c>
      <c r="H50" s="8" t="s">
        <v>19</v>
      </c>
      <c r="I50" s="15">
        <v>30</v>
      </c>
      <c r="J50" s="8" t="s">
        <v>19</v>
      </c>
      <c r="K50" s="15">
        <v>20</v>
      </c>
      <c r="L50" s="15">
        <v>3</v>
      </c>
      <c r="M50" s="15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13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5">
        <v>15</v>
      </c>
      <c r="G53" s="8" t="s">
        <v>27</v>
      </c>
      <c r="H53" s="8" t="s">
        <v>19</v>
      </c>
      <c r="I53" s="15">
        <v>30</v>
      </c>
      <c r="J53" s="8" t="s">
        <v>19</v>
      </c>
      <c r="K53" s="15">
        <v>20</v>
      </c>
      <c r="L53" s="15">
        <v>7</v>
      </c>
      <c r="M53" s="15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13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5">
        <v>15</v>
      </c>
      <c r="G56" s="8" t="s">
        <v>20</v>
      </c>
      <c r="H56" s="8" t="s">
        <v>19</v>
      </c>
      <c r="I56" s="15">
        <v>30</v>
      </c>
      <c r="J56" s="8" t="s">
        <v>19</v>
      </c>
      <c r="K56" s="15">
        <v>20</v>
      </c>
      <c r="L56" s="15">
        <v>20</v>
      </c>
      <c r="M56" s="15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13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5">
        <v>15</v>
      </c>
      <c r="G59" s="8" t="s">
        <v>24</v>
      </c>
      <c r="H59" s="8" t="s">
        <v>19</v>
      </c>
      <c r="I59" s="15">
        <v>30</v>
      </c>
      <c r="J59" s="8" t="s">
        <v>19</v>
      </c>
      <c r="K59" s="15">
        <v>20</v>
      </c>
      <c r="L59" s="15">
        <v>3</v>
      </c>
      <c r="M59" s="15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13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5">
        <v>15</v>
      </c>
      <c r="G62" s="8" t="s">
        <v>20</v>
      </c>
      <c r="H62" s="8" t="s">
        <v>19</v>
      </c>
      <c r="I62" s="15">
        <v>30</v>
      </c>
      <c r="J62" s="8" t="s">
        <v>19</v>
      </c>
      <c r="K62" s="15">
        <v>20</v>
      </c>
      <c r="L62" s="15">
        <v>5</v>
      </c>
      <c r="M62" s="15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13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5">
        <v>15</v>
      </c>
      <c r="G65" s="8" t="s">
        <v>27</v>
      </c>
      <c r="H65" s="8" t="s">
        <v>19</v>
      </c>
      <c r="I65" s="15">
        <v>30</v>
      </c>
      <c r="J65" s="8" t="s">
        <v>19</v>
      </c>
      <c r="K65" s="15">
        <v>20</v>
      </c>
      <c r="L65" s="15">
        <v>20</v>
      </c>
      <c r="M65" s="15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13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5">
        <v>15</v>
      </c>
      <c r="G68" s="8" t="s">
        <v>27</v>
      </c>
      <c r="H68" s="8" t="s">
        <v>19</v>
      </c>
      <c r="I68" s="15">
        <v>30</v>
      </c>
      <c r="J68" s="8" t="s">
        <v>19</v>
      </c>
      <c r="K68" s="15">
        <v>20</v>
      </c>
      <c r="L68" s="15">
        <v>7</v>
      </c>
      <c r="M68" s="15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13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5">
        <v>15</v>
      </c>
      <c r="G71" s="8" t="s">
        <v>20</v>
      </c>
      <c r="H71" s="8" t="s">
        <v>19</v>
      </c>
      <c r="I71" s="15">
        <v>30</v>
      </c>
      <c r="J71" s="8" t="s">
        <v>19</v>
      </c>
      <c r="K71" s="15">
        <v>20</v>
      </c>
      <c r="L71" s="15">
        <v>15</v>
      </c>
      <c r="M71" s="15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13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5">
        <v>15</v>
      </c>
      <c r="G74" s="8" t="s">
        <v>27</v>
      </c>
      <c r="H74" s="8" t="s">
        <v>19</v>
      </c>
      <c r="I74" s="15">
        <v>30</v>
      </c>
      <c r="J74" s="8" t="s">
        <v>19</v>
      </c>
      <c r="K74" s="15">
        <v>20</v>
      </c>
      <c r="L74" s="15">
        <v>20</v>
      </c>
      <c r="M74" s="15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13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5">
        <v>15</v>
      </c>
      <c r="G77" s="8" t="s">
        <v>24</v>
      </c>
      <c r="H77" s="8" t="s">
        <v>19</v>
      </c>
      <c r="I77" s="15">
        <v>30</v>
      </c>
      <c r="J77" s="8" t="s">
        <v>19</v>
      </c>
      <c r="K77" s="15">
        <v>20</v>
      </c>
      <c r="L77" s="15">
        <v>5</v>
      </c>
      <c r="M77" s="15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13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5">
        <v>15</v>
      </c>
      <c r="G80" s="8" t="s">
        <v>20</v>
      </c>
      <c r="H80" s="8" t="s">
        <v>19</v>
      </c>
      <c r="I80" s="15">
        <v>30</v>
      </c>
      <c r="J80" s="8" t="s">
        <v>19</v>
      </c>
      <c r="K80" s="15">
        <v>20</v>
      </c>
      <c r="L80" s="15">
        <v>3</v>
      </c>
      <c r="M80" s="15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13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5">
        <v>15</v>
      </c>
      <c r="G83" s="8" t="s">
        <v>27</v>
      </c>
      <c r="H83" s="8" t="s">
        <v>19</v>
      </c>
      <c r="I83" s="15">
        <v>30</v>
      </c>
      <c r="J83" s="8" t="s">
        <v>19</v>
      </c>
      <c r="K83" s="15">
        <v>20</v>
      </c>
      <c r="L83" s="15">
        <v>7</v>
      </c>
      <c r="M83" s="15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13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5">
        <v>15</v>
      </c>
      <c r="G86" s="8" t="s">
        <v>20</v>
      </c>
      <c r="H86" s="8" t="s">
        <v>19</v>
      </c>
      <c r="I86" s="15">
        <v>30</v>
      </c>
      <c r="J86" s="8" t="s">
        <v>19</v>
      </c>
      <c r="K86" s="15">
        <v>20</v>
      </c>
      <c r="L86" s="15">
        <v>20</v>
      </c>
      <c r="M86" s="15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13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5">
        <v>15</v>
      </c>
      <c r="G89" s="8" t="s">
        <v>24</v>
      </c>
      <c r="H89" s="8" t="s">
        <v>19</v>
      </c>
      <c r="I89" s="15">
        <v>30</v>
      </c>
      <c r="J89" s="8" t="s">
        <v>19</v>
      </c>
      <c r="K89" s="15">
        <v>20</v>
      </c>
      <c r="L89" s="15">
        <v>3</v>
      </c>
      <c r="M89" s="15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13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5">
        <v>15</v>
      </c>
      <c r="G92" s="8" t="s">
        <v>20</v>
      </c>
      <c r="H92" s="8" t="s">
        <v>19</v>
      </c>
      <c r="I92" s="15">
        <v>30</v>
      </c>
      <c r="J92" s="8" t="s">
        <v>19</v>
      </c>
      <c r="K92" s="15">
        <v>20</v>
      </c>
      <c r="L92" s="15">
        <v>5</v>
      </c>
      <c r="M92" s="15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13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5">
        <v>15</v>
      </c>
      <c r="G95" s="8" t="s">
        <v>27</v>
      </c>
      <c r="H95" s="8" t="s">
        <v>19</v>
      </c>
      <c r="I95" s="15">
        <v>30</v>
      </c>
      <c r="J95" s="8" t="s">
        <v>19</v>
      </c>
      <c r="K95" s="15">
        <v>20</v>
      </c>
      <c r="L95" s="15">
        <v>20</v>
      </c>
      <c r="M95" s="15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13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5">
        <v>15</v>
      </c>
      <c r="G98" s="8" t="s">
        <v>20</v>
      </c>
      <c r="H98" s="8" t="s">
        <v>19</v>
      </c>
      <c r="I98" s="15">
        <v>30</v>
      </c>
      <c r="J98" s="8" t="s">
        <v>19</v>
      </c>
      <c r="K98" s="15">
        <v>20</v>
      </c>
      <c r="L98" s="15">
        <v>7</v>
      </c>
      <c r="M98" s="15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13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5">
        <v>15</v>
      </c>
      <c r="G101" s="8" t="s">
        <v>20</v>
      </c>
      <c r="H101" s="8" t="s">
        <v>19</v>
      </c>
      <c r="I101" s="15">
        <v>30</v>
      </c>
      <c r="J101" s="8" t="s">
        <v>19</v>
      </c>
      <c r="K101" s="15">
        <v>20</v>
      </c>
      <c r="L101" s="15">
        <v>15</v>
      </c>
      <c r="M101" s="15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13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5">
        <v>15</v>
      </c>
      <c r="G104" s="8" t="s">
        <v>27</v>
      </c>
      <c r="H104" s="8" t="s">
        <v>19</v>
      </c>
      <c r="I104" s="15">
        <v>30</v>
      </c>
      <c r="J104" s="8" t="s">
        <v>19</v>
      </c>
      <c r="K104" s="15">
        <v>20</v>
      </c>
      <c r="L104" s="15">
        <v>20</v>
      </c>
      <c r="M104" s="15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13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5">
        <v>15</v>
      </c>
      <c r="G108" s="8" t="s">
        <v>27</v>
      </c>
      <c r="H108" s="8" t="s">
        <v>19</v>
      </c>
      <c r="I108" s="15">
        <v>30</v>
      </c>
      <c r="J108" s="8" t="s">
        <v>19</v>
      </c>
      <c r="K108" s="15">
        <v>20</v>
      </c>
      <c r="L108" s="15">
        <v>7</v>
      </c>
      <c r="M108" s="15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13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5">
        <v>15</v>
      </c>
      <c r="G111" s="8" t="s">
        <v>20</v>
      </c>
      <c r="H111" s="8" t="s">
        <v>19</v>
      </c>
      <c r="I111" s="15">
        <v>30</v>
      </c>
      <c r="J111" s="8" t="s">
        <v>19</v>
      </c>
      <c r="K111" s="15">
        <v>20</v>
      </c>
      <c r="L111" s="15">
        <v>15</v>
      </c>
      <c r="M111" s="15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13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5">
        <v>15</v>
      </c>
      <c r="G114" s="8" t="s">
        <v>27</v>
      </c>
      <c r="H114" s="8" t="s">
        <v>19</v>
      </c>
      <c r="I114" s="15">
        <v>30</v>
      </c>
      <c r="J114" s="8" t="s">
        <v>19</v>
      </c>
      <c r="K114" s="15">
        <v>20</v>
      </c>
      <c r="L114" s="15">
        <v>20</v>
      </c>
      <c r="M114" s="15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13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5">
        <v>15</v>
      </c>
      <c r="G117" s="8" t="s">
        <v>24</v>
      </c>
      <c r="H117" s="8" t="s">
        <v>19</v>
      </c>
      <c r="I117" s="15">
        <v>30</v>
      </c>
      <c r="J117" s="8" t="s">
        <v>19</v>
      </c>
      <c r="K117" s="15">
        <v>20</v>
      </c>
      <c r="L117" s="15">
        <v>5</v>
      </c>
      <c r="M117" s="15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13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5">
        <v>15</v>
      </c>
      <c r="G120" s="8" t="s">
        <v>20</v>
      </c>
      <c r="H120" s="8" t="s">
        <v>19</v>
      </c>
      <c r="I120" s="15">
        <v>30</v>
      </c>
      <c r="J120" s="8" t="s">
        <v>19</v>
      </c>
      <c r="K120" s="15">
        <v>20</v>
      </c>
      <c r="L120" s="15">
        <v>3</v>
      </c>
      <c r="M120" s="15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13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5">
        <v>15</v>
      </c>
      <c r="G123" s="8" t="s">
        <v>27</v>
      </c>
      <c r="H123" s="8" t="s">
        <v>19</v>
      </c>
      <c r="I123" s="15">
        <v>30</v>
      </c>
      <c r="J123" s="8" t="s">
        <v>19</v>
      </c>
      <c r="K123" s="15">
        <v>20</v>
      </c>
      <c r="L123" s="15">
        <v>7</v>
      </c>
      <c r="M123" s="15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13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5">
        <v>15</v>
      </c>
      <c r="G126" s="8" t="s">
        <v>20</v>
      </c>
      <c r="H126" s="8" t="s">
        <v>19</v>
      </c>
      <c r="I126" s="15">
        <v>30</v>
      </c>
      <c r="J126" s="8" t="s">
        <v>19</v>
      </c>
      <c r="K126" s="15">
        <v>20</v>
      </c>
      <c r="L126" s="15">
        <v>20</v>
      </c>
      <c r="M126" s="15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13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5">
        <v>15</v>
      </c>
      <c r="G129" s="8" t="s">
        <v>24</v>
      </c>
      <c r="H129" s="8" t="s">
        <v>19</v>
      </c>
      <c r="I129" s="15">
        <v>30</v>
      </c>
      <c r="J129" s="8" t="s">
        <v>19</v>
      </c>
      <c r="K129" s="15">
        <v>20</v>
      </c>
      <c r="L129" s="15">
        <v>3</v>
      </c>
      <c r="M129" s="15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13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5">
        <v>15</v>
      </c>
      <c r="G132" s="8" t="s">
        <v>20</v>
      </c>
      <c r="H132" s="8" t="s">
        <v>19</v>
      </c>
      <c r="I132" s="15">
        <v>30</v>
      </c>
      <c r="J132" s="8" t="s">
        <v>19</v>
      </c>
      <c r="K132" s="15">
        <v>20</v>
      </c>
      <c r="L132" s="15">
        <v>15</v>
      </c>
      <c r="M132" s="15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13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5">
        <v>15</v>
      </c>
      <c r="G135" s="8" t="s">
        <v>27</v>
      </c>
      <c r="H135" s="8" t="s">
        <v>19</v>
      </c>
      <c r="I135" s="15">
        <v>30</v>
      </c>
      <c r="J135" s="8" t="s">
        <v>19</v>
      </c>
      <c r="K135" s="15">
        <v>20</v>
      </c>
      <c r="L135" s="15">
        <v>7</v>
      </c>
      <c r="M135" s="15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13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5">
        <v>15</v>
      </c>
      <c r="G138" s="8" t="s">
        <v>27</v>
      </c>
      <c r="H138" s="8" t="s">
        <v>19</v>
      </c>
      <c r="I138" s="15">
        <v>30</v>
      </c>
      <c r="J138" s="8" t="s">
        <v>19</v>
      </c>
      <c r="K138" s="15">
        <v>20</v>
      </c>
      <c r="L138" s="15">
        <v>7</v>
      </c>
      <c r="M138" s="15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13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5">
        <v>15</v>
      </c>
      <c r="G141" s="8" t="s">
        <v>20</v>
      </c>
      <c r="H141" s="8" t="s">
        <v>19</v>
      </c>
      <c r="I141" s="15">
        <v>30</v>
      </c>
      <c r="J141" s="8" t="s">
        <v>19</v>
      </c>
      <c r="K141" s="15">
        <v>20</v>
      </c>
      <c r="L141" s="15">
        <v>15</v>
      </c>
      <c r="M141" s="15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13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5">
        <v>15</v>
      </c>
      <c r="G144" s="8" t="s">
        <v>27</v>
      </c>
      <c r="H144" s="8" t="s">
        <v>19</v>
      </c>
      <c r="I144" s="15">
        <v>30</v>
      </c>
      <c r="J144" s="8" t="s">
        <v>19</v>
      </c>
      <c r="K144" s="15">
        <v>20</v>
      </c>
      <c r="L144" s="15">
        <v>20</v>
      </c>
      <c r="M144" s="15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13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5">
        <v>15</v>
      </c>
      <c r="G147" s="8" t="s">
        <v>24</v>
      </c>
      <c r="H147" s="8" t="s">
        <v>19</v>
      </c>
      <c r="I147" s="15">
        <v>30</v>
      </c>
      <c r="J147" s="8" t="s">
        <v>19</v>
      </c>
      <c r="K147" s="15">
        <v>20</v>
      </c>
      <c r="L147" s="15">
        <v>5</v>
      </c>
      <c r="M147" s="15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13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5">
        <v>15</v>
      </c>
      <c r="G150" s="8" t="s">
        <v>20</v>
      </c>
      <c r="H150" s="8" t="s">
        <v>19</v>
      </c>
      <c r="I150" s="15">
        <v>30</v>
      </c>
      <c r="J150" s="8" t="s">
        <v>19</v>
      </c>
      <c r="K150" s="15">
        <v>20</v>
      </c>
      <c r="L150" s="15">
        <v>3</v>
      </c>
      <c r="M150" s="15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13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5">
        <v>15</v>
      </c>
      <c r="G153" s="8" t="s">
        <v>27</v>
      </c>
      <c r="H153" s="8" t="s">
        <v>19</v>
      </c>
      <c r="I153" s="15">
        <v>30</v>
      </c>
      <c r="J153" s="8" t="s">
        <v>19</v>
      </c>
      <c r="K153" s="15">
        <v>20</v>
      </c>
      <c r="L153" s="15">
        <v>7</v>
      </c>
      <c r="M153" s="15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13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5">
        <v>15</v>
      </c>
      <c r="G156" s="8" t="s">
        <v>20</v>
      </c>
      <c r="H156" s="8" t="s">
        <v>19</v>
      </c>
      <c r="I156" s="15">
        <v>30</v>
      </c>
      <c r="J156" s="8" t="s">
        <v>19</v>
      </c>
      <c r="K156" s="15">
        <v>20</v>
      </c>
      <c r="L156" s="15">
        <v>20</v>
      </c>
      <c r="M156" s="15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13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5">
        <v>15</v>
      </c>
      <c r="G159" s="8" t="s">
        <v>24</v>
      </c>
      <c r="H159" s="8" t="s">
        <v>19</v>
      </c>
      <c r="I159" s="15">
        <v>30</v>
      </c>
      <c r="J159" s="8" t="s">
        <v>19</v>
      </c>
      <c r="K159" s="15">
        <v>20</v>
      </c>
      <c r="L159" s="15">
        <v>3</v>
      </c>
      <c r="M159" s="15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13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5">
        <v>15</v>
      </c>
      <c r="G162" s="8" t="s">
        <v>20</v>
      </c>
      <c r="H162" s="8" t="s">
        <v>19</v>
      </c>
      <c r="I162" s="15">
        <v>30</v>
      </c>
      <c r="J162" s="8" t="s">
        <v>19</v>
      </c>
      <c r="K162" s="15">
        <v>20</v>
      </c>
      <c r="L162" s="15">
        <v>15</v>
      </c>
      <c r="M162" s="15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13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5">
        <v>15</v>
      </c>
      <c r="G165" s="8" t="s">
        <v>27</v>
      </c>
      <c r="H165" s="8" t="s">
        <v>19</v>
      </c>
      <c r="I165" s="15">
        <v>30</v>
      </c>
      <c r="J165" s="8" t="s">
        <v>19</v>
      </c>
      <c r="K165" s="15">
        <v>20</v>
      </c>
      <c r="L165" s="15">
        <v>7</v>
      </c>
      <c r="M165" s="15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13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5">
        <v>15</v>
      </c>
      <c r="G168" s="8" t="s">
        <v>20</v>
      </c>
      <c r="H168" s="8" t="s">
        <v>19</v>
      </c>
      <c r="I168" s="15">
        <v>30</v>
      </c>
      <c r="J168" s="8" t="s">
        <v>19</v>
      </c>
      <c r="K168" s="15">
        <v>20</v>
      </c>
      <c r="L168" s="15">
        <v>20</v>
      </c>
      <c r="M168" s="15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13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5">
        <v>15</v>
      </c>
      <c r="G171" s="8" t="s">
        <v>24</v>
      </c>
      <c r="H171" s="8" t="s">
        <v>19</v>
      </c>
      <c r="I171" s="15">
        <v>30</v>
      </c>
      <c r="J171" s="8" t="s">
        <v>19</v>
      </c>
      <c r="K171" s="15">
        <v>20</v>
      </c>
      <c r="L171" s="15">
        <v>5</v>
      </c>
      <c r="M171" s="15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13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5">
        <v>15</v>
      </c>
      <c r="G174" s="8" t="s">
        <v>20</v>
      </c>
      <c r="H174" s="8" t="s">
        <v>19</v>
      </c>
      <c r="I174" s="15">
        <v>30</v>
      </c>
      <c r="J174" s="8" t="s">
        <v>19</v>
      </c>
      <c r="K174" s="15">
        <v>20</v>
      </c>
      <c r="L174" s="15">
        <v>3</v>
      </c>
      <c r="M174" s="15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13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5">
        <v>15</v>
      </c>
      <c r="G178" s="8" t="s">
        <v>27</v>
      </c>
      <c r="H178" s="8" t="s">
        <v>19</v>
      </c>
      <c r="I178" s="15">
        <v>30</v>
      </c>
      <c r="J178" s="8" t="s">
        <v>19</v>
      </c>
      <c r="K178" s="15">
        <v>20</v>
      </c>
      <c r="L178" s="15">
        <v>7</v>
      </c>
      <c r="M178" s="15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13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5">
        <v>15</v>
      </c>
      <c r="G181" s="8" t="s">
        <v>20</v>
      </c>
      <c r="H181" s="8" t="s">
        <v>19</v>
      </c>
      <c r="I181" s="15">
        <v>30</v>
      </c>
      <c r="J181" s="8" t="s">
        <v>19</v>
      </c>
      <c r="K181" s="15">
        <v>20</v>
      </c>
      <c r="L181" s="15">
        <v>15</v>
      </c>
      <c r="M181" s="15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13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5">
        <v>15</v>
      </c>
      <c r="G184" s="8" t="s">
        <v>27</v>
      </c>
      <c r="H184" s="8" t="s">
        <v>19</v>
      </c>
      <c r="I184" s="15">
        <v>30</v>
      </c>
      <c r="J184" s="8" t="s">
        <v>19</v>
      </c>
      <c r="K184" s="15">
        <v>20</v>
      </c>
      <c r="L184" s="15">
        <v>20</v>
      </c>
      <c r="M184" s="15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13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5">
        <v>15</v>
      </c>
      <c r="G187" s="8" t="s">
        <v>24</v>
      </c>
      <c r="H187" s="8" t="s">
        <v>19</v>
      </c>
      <c r="I187" s="15">
        <v>30</v>
      </c>
      <c r="J187" s="8" t="s">
        <v>19</v>
      </c>
      <c r="K187" s="15">
        <v>20</v>
      </c>
      <c r="L187" s="15">
        <v>5</v>
      </c>
      <c r="M187" s="15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13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5">
        <v>15</v>
      </c>
      <c r="G190" s="8" t="s">
        <v>20</v>
      </c>
      <c r="H190" s="8" t="s">
        <v>19</v>
      </c>
      <c r="I190" s="15">
        <v>30</v>
      </c>
      <c r="J190" s="8" t="s">
        <v>19</v>
      </c>
      <c r="K190" s="15">
        <v>20</v>
      </c>
      <c r="L190" s="15">
        <v>3</v>
      </c>
      <c r="M190" s="15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13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5">
        <v>15</v>
      </c>
      <c r="G193" s="8" t="s">
        <v>27</v>
      </c>
      <c r="H193" s="8" t="s">
        <v>19</v>
      </c>
      <c r="I193" s="15">
        <v>30</v>
      </c>
      <c r="J193" s="8" t="s">
        <v>19</v>
      </c>
      <c r="K193" s="15">
        <v>20</v>
      </c>
      <c r="L193" s="15">
        <v>7</v>
      </c>
      <c r="M193" s="15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13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5">
        <v>15</v>
      </c>
      <c r="G196" s="8" t="s">
        <v>20</v>
      </c>
      <c r="H196" s="8" t="s">
        <v>19</v>
      </c>
      <c r="I196" s="15">
        <v>30</v>
      </c>
      <c r="J196" s="8" t="s">
        <v>19</v>
      </c>
      <c r="K196" s="15">
        <v>20</v>
      </c>
      <c r="L196" s="15">
        <v>20</v>
      </c>
      <c r="M196" s="15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13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5">
        <v>15</v>
      </c>
      <c r="G199" s="8" t="s">
        <v>24</v>
      </c>
      <c r="H199" s="8" t="s">
        <v>19</v>
      </c>
      <c r="I199" s="15">
        <v>30</v>
      </c>
      <c r="J199" s="8" t="s">
        <v>19</v>
      </c>
      <c r="K199" s="15">
        <v>20</v>
      </c>
      <c r="L199" s="15">
        <v>3</v>
      </c>
      <c r="M199" s="15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13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5">
        <v>15</v>
      </c>
      <c r="G202" s="8" t="s">
        <v>20</v>
      </c>
      <c r="H202" s="8" t="s">
        <v>19</v>
      </c>
      <c r="I202" s="15">
        <v>30</v>
      </c>
      <c r="J202" s="8" t="s">
        <v>19</v>
      </c>
      <c r="K202" s="15">
        <v>20</v>
      </c>
      <c r="L202" s="15">
        <v>15</v>
      </c>
      <c r="M202" s="15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13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5">
        <v>15</v>
      </c>
      <c r="G205" s="8" t="s">
        <v>27</v>
      </c>
      <c r="H205" s="8" t="s">
        <v>19</v>
      </c>
      <c r="I205" s="15">
        <v>30</v>
      </c>
      <c r="J205" s="8" t="s">
        <v>19</v>
      </c>
      <c r="K205" s="15">
        <v>20</v>
      </c>
      <c r="L205" s="15">
        <v>7</v>
      </c>
      <c r="M205" s="15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13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5">
        <v>15</v>
      </c>
      <c r="G208" s="8" t="s">
        <v>27</v>
      </c>
      <c r="H208" s="8" t="s">
        <v>19</v>
      </c>
      <c r="I208" s="15">
        <v>30</v>
      </c>
      <c r="J208" s="8" t="s">
        <v>19</v>
      </c>
      <c r="K208" s="15">
        <v>20</v>
      </c>
      <c r="L208" s="15">
        <v>7</v>
      </c>
      <c r="M208" s="15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13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5">
        <v>15</v>
      </c>
      <c r="G211" s="8" t="s">
        <v>20</v>
      </c>
      <c r="H211" s="8" t="s">
        <v>19</v>
      </c>
      <c r="I211" s="15">
        <v>30</v>
      </c>
      <c r="J211" s="8" t="s">
        <v>19</v>
      </c>
      <c r="K211" s="15">
        <v>20</v>
      </c>
      <c r="L211" s="15">
        <v>15</v>
      </c>
      <c r="M211" s="15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13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5">
        <v>15</v>
      </c>
      <c r="G214" s="8" t="s">
        <v>27</v>
      </c>
      <c r="H214" s="8" t="s">
        <v>19</v>
      </c>
      <c r="I214" s="15">
        <v>30</v>
      </c>
      <c r="J214" s="8" t="s">
        <v>19</v>
      </c>
      <c r="K214" s="15">
        <v>20</v>
      </c>
      <c r="L214" s="15">
        <v>20</v>
      </c>
      <c r="M214" s="15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13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5">
        <v>15</v>
      </c>
      <c r="G217" s="8" t="s">
        <v>24</v>
      </c>
      <c r="H217" s="8" t="s">
        <v>19</v>
      </c>
      <c r="I217" s="15">
        <v>30</v>
      </c>
      <c r="J217" s="8" t="s">
        <v>19</v>
      </c>
      <c r="K217" s="15">
        <v>20</v>
      </c>
      <c r="L217" s="15">
        <v>5</v>
      </c>
      <c r="M217" s="15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13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5">
        <v>15</v>
      </c>
      <c r="G220" s="8" t="s">
        <v>20</v>
      </c>
      <c r="H220" s="8" t="s">
        <v>19</v>
      </c>
      <c r="I220" s="15">
        <v>30</v>
      </c>
      <c r="J220" s="8" t="s">
        <v>19</v>
      </c>
      <c r="K220" s="15">
        <v>20</v>
      </c>
      <c r="L220" s="15">
        <v>3</v>
      </c>
      <c r="M220" s="15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13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5">
        <v>15</v>
      </c>
      <c r="G223" s="8" t="s">
        <v>27</v>
      </c>
      <c r="H223" s="8" t="s">
        <v>19</v>
      </c>
      <c r="I223" s="15">
        <v>30</v>
      </c>
      <c r="J223" s="8" t="s">
        <v>19</v>
      </c>
      <c r="K223" s="15">
        <v>20</v>
      </c>
      <c r="L223" s="15">
        <v>7</v>
      </c>
      <c r="M223" s="15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13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5">
        <v>15</v>
      </c>
      <c r="G226" s="8" t="s">
        <v>20</v>
      </c>
      <c r="H226" s="8" t="s">
        <v>19</v>
      </c>
      <c r="I226" s="15">
        <v>30</v>
      </c>
      <c r="J226" s="8" t="s">
        <v>19</v>
      </c>
      <c r="K226" s="15">
        <v>20</v>
      </c>
      <c r="L226" s="15">
        <v>20</v>
      </c>
      <c r="M226" s="15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13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5">
        <v>15</v>
      </c>
      <c r="G229" s="8" t="s">
        <v>24</v>
      </c>
      <c r="H229" s="8" t="s">
        <v>19</v>
      </c>
      <c r="I229" s="15">
        <v>30</v>
      </c>
      <c r="J229" s="8" t="s">
        <v>19</v>
      </c>
      <c r="K229" s="15">
        <v>20</v>
      </c>
      <c r="L229" s="15">
        <v>3</v>
      </c>
      <c r="M229" s="15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13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5">
        <v>15</v>
      </c>
      <c r="G232" s="8" t="s">
        <v>20</v>
      </c>
      <c r="H232" s="8" t="s">
        <v>19</v>
      </c>
      <c r="I232" s="15">
        <v>30</v>
      </c>
      <c r="J232" s="8" t="s">
        <v>19</v>
      </c>
      <c r="K232" s="15">
        <v>20</v>
      </c>
      <c r="L232" s="15">
        <v>15</v>
      </c>
      <c r="M232" s="15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13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5">
        <v>15</v>
      </c>
      <c r="G235" s="8" t="s">
        <v>27</v>
      </c>
      <c r="H235" s="8" t="s">
        <v>19</v>
      </c>
      <c r="I235" s="15">
        <v>30</v>
      </c>
      <c r="J235" s="8" t="s">
        <v>19</v>
      </c>
      <c r="K235" s="15">
        <v>20</v>
      </c>
      <c r="L235" s="15">
        <v>7</v>
      </c>
      <c r="M235" s="15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13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5">
        <v>15</v>
      </c>
      <c r="G238" s="8" t="s">
        <v>20</v>
      </c>
      <c r="H238" s="8" t="s">
        <v>19</v>
      </c>
      <c r="I238" s="15">
        <v>30</v>
      </c>
      <c r="J238" s="8" t="s">
        <v>19</v>
      </c>
      <c r="K238" s="15">
        <v>20</v>
      </c>
      <c r="L238" s="15">
        <v>15</v>
      </c>
      <c r="M238" s="15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13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5">
        <v>15</v>
      </c>
      <c r="G241" s="8" t="s">
        <v>24</v>
      </c>
      <c r="H241" s="8" t="s">
        <v>19</v>
      </c>
      <c r="I241" s="15">
        <v>30</v>
      </c>
      <c r="J241" s="8" t="s">
        <v>19</v>
      </c>
      <c r="K241" s="15">
        <v>20</v>
      </c>
      <c r="L241" s="15">
        <v>5</v>
      </c>
      <c r="M241" s="15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13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5">
        <v>15</v>
      </c>
      <c r="G244" s="8" t="s">
        <v>20</v>
      </c>
      <c r="H244" s="8" t="s">
        <v>19</v>
      </c>
      <c r="I244" s="15">
        <v>30</v>
      </c>
      <c r="J244" s="8" t="s">
        <v>19</v>
      </c>
      <c r="K244" s="15">
        <v>20</v>
      </c>
      <c r="L244" s="15">
        <v>3</v>
      </c>
      <c r="M244" s="15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13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5">
        <v>15</v>
      </c>
      <c r="G247" s="8" t="s">
        <v>27</v>
      </c>
      <c r="H247" s="8" t="s">
        <v>19</v>
      </c>
      <c r="I247" s="15">
        <v>30</v>
      </c>
      <c r="J247" s="8" t="s">
        <v>19</v>
      </c>
      <c r="K247" s="15">
        <v>20</v>
      </c>
      <c r="L247" s="15">
        <v>7</v>
      </c>
      <c r="M247" s="15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13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5">
        <v>15</v>
      </c>
      <c r="G250" s="8" t="s">
        <v>20</v>
      </c>
      <c r="H250" s="8" t="s">
        <v>19</v>
      </c>
      <c r="I250" s="15">
        <v>30</v>
      </c>
      <c r="J250" s="8" t="s">
        <v>19</v>
      </c>
      <c r="K250" s="15">
        <v>20</v>
      </c>
      <c r="L250" s="15">
        <v>20</v>
      </c>
      <c r="M250" s="15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13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5">
        <v>15</v>
      </c>
      <c r="G253" s="8" t="s">
        <v>24</v>
      </c>
      <c r="H253" s="8" t="s">
        <v>19</v>
      </c>
      <c r="I253" s="15">
        <v>30</v>
      </c>
      <c r="J253" s="8" t="s">
        <v>19</v>
      </c>
      <c r="K253" s="15">
        <v>20</v>
      </c>
      <c r="L253" s="15">
        <v>3</v>
      </c>
      <c r="M253" s="15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13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5">
        <v>15</v>
      </c>
      <c r="G256" s="8" t="s">
        <v>20</v>
      </c>
      <c r="H256" s="8" t="s">
        <v>19</v>
      </c>
      <c r="I256" s="15">
        <v>30</v>
      </c>
      <c r="J256" s="8" t="s">
        <v>19</v>
      </c>
      <c r="K256" s="15">
        <v>20</v>
      </c>
      <c r="L256" s="15">
        <v>15</v>
      </c>
      <c r="M256" s="15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13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5">
        <v>15</v>
      </c>
      <c r="G258" s="8" t="s">
        <v>27</v>
      </c>
      <c r="H258" s="8" t="s">
        <v>19</v>
      </c>
      <c r="I258" s="15">
        <v>30</v>
      </c>
      <c r="J258" s="8" t="s">
        <v>19</v>
      </c>
      <c r="K258" s="15">
        <v>20</v>
      </c>
      <c r="L258" s="15">
        <v>7</v>
      </c>
      <c r="M258" s="15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13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5">
        <v>15</v>
      </c>
      <c r="G261" s="8" t="s">
        <v>20</v>
      </c>
      <c r="H261" s="8" t="s">
        <v>19</v>
      </c>
      <c r="I261" s="15">
        <v>30</v>
      </c>
      <c r="J261" s="8" t="s">
        <v>19</v>
      </c>
      <c r="K261" s="15">
        <v>20</v>
      </c>
      <c r="L261" s="15">
        <v>15</v>
      </c>
      <c r="M261" s="15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13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5">
        <v>15</v>
      </c>
      <c r="G264" s="8" t="s">
        <v>27</v>
      </c>
      <c r="H264" s="8" t="s">
        <v>19</v>
      </c>
      <c r="I264" s="15">
        <v>30</v>
      </c>
      <c r="J264" s="8" t="s">
        <v>19</v>
      </c>
      <c r="K264" s="15">
        <v>20</v>
      </c>
      <c r="L264" s="15">
        <v>20</v>
      </c>
      <c r="M264" s="15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13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5">
        <v>15</v>
      </c>
      <c r="G267" s="8" t="s">
        <v>24</v>
      </c>
      <c r="H267" s="8" t="s">
        <v>19</v>
      </c>
      <c r="I267" s="15">
        <v>30</v>
      </c>
      <c r="J267" s="8" t="s">
        <v>19</v>
      </c>
      <c r="K267" s="15">
        <v>20</v>
      </c>
      <c r="L267" s="15">
        <v>5</v>
      </c>
      <c r="M267" s="15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13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5">
        <v>15</v>
      </c>
      <c r="G270" s="8" t="s">
        <v>20</v>
      </c>
      <c r="H270" s="8" t="s">
        <v>19</v>
      </c>
      <c r="I270" s="15">
        <v>30</v>
      </c>
      <c r="J270" s="8" t="s">
        <v>19</v>
      </c>
      <c r="K270" s="15">
        <v>20</v>
      </c>
      <c r="L270" s="15">
        <v>3</v>
      </c>
      <c r="M270" s="15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13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5">
        <v>15</v>
      </c>
      <c r="G273" s="8" t="s">
        <v>27</v>
      </c>
      <c r="H273" s="8" t="s">
        <v>19</v>
      </c>
      <c r="I273" s="15">
        <v>30</v>
      </c>
      <c r="J273" s="8" t="s">
        <v>19</v>
      </c>
      <c r="K273" s="15">
        <v>20</v>
      </c>
      <c r="L273" s="15">
        <v>7</v>
      </c>
      <c r="M273" s="15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13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5">
        <v>15</v>
      </c>
      <c r="G276" s="8" t="s">
        <v>20</v>
      </c>
      <c r="H276" s="8" t="s">
        <v>19</v>
      </c>
      <c r="I276" s="15">
        <v>30</v>
      </c>
      <c r="J276" s="8" t="s">
        <v>19</v>
      </c>
      <c r="K276" s="15">
        <v>20</v>
      </c>
      <c r="L276" s="15">
        <v>20</v>
      </c>
      <c r="M276" s="15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13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5">
        <v>15</v>
      </c>
      <c r="G279" s="8" t="s">
        <v>24</v>
      </c>
      <c r="H279" s="8" t="s">
        <v>19</v>
      </c>
      <c r="I279" s="15">
        <v>30</v>
      </c>
      <c r="J279" s="8" t="s">
        <v>19</v>
      </c>
      <c r="K279" s="15">
        <v>20</v>
      </c>
      <c r="L279" s="15">
        <v>3</v>
      </c>
      <c r="M279" s="15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13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5">
        <v>15</v>
      </c>
      <c r="G282" s="8" t="s">
        <v>20</v>
      </c>
      <c r="H282" s="8" t="s">
        <v>19</v>
      </c>
      <c r="I282" s="15">
        <v>30</v>
      </c>
      <c r="J282" s="8" t="s">
        <v>19</v>
      </c>
      <c r="K282" s="15">
        <v>20</v>
      </c>
      <c r="L282" s="15">
        <v>15</v>
      </c>
      <c r="M282" s="15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13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5">
        <v>15</v>
      </c>
      <c r="G285" s="8" t="s">
        <v>27</v>
      </c>
      <c r="H285" s="8" t="s">
        <v>19</v>
      </c>
      <c r="I285" s="15">
        <v>30</v>
      </c>
      <c r="J285" s="8" t="s">
        <v>19</v>
      </c>
      <c r="K285" s="15">
        <v>20</v>
      </c>
      <c r="L285" s="15">
        <v>7</v>
      </c>
      <c r="M285" s="15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13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5">
        <v>15</v>
      </c>
      <c r="G288" s="8" t="s">
        <v>20</v>
      </c>
      <c r="H288" s="8" t="s">
        <v>19</v>
      </c>
      <c r="I288" s="15">
        <v>30</v>
      </c>
      <c r="J288" s="8" t="s">
        <v>19</v>
      </c>
      <c r="K288" s="15">
        <v>20</v>
      </c>
      <c r="L288" s="15">
        <v>20</v>
      </c>
      <c r="M288" s="15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13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5">
        <v>15</v>
      </c>
      <c r="G291" s="8" t="s">
        <v>24</v>
      </c>
      <c r="H291" s="8" t="s">
        <v>19</v>
      </c>
      <c r="I291" s="15">
        <v>30</v>
      </c>
      <c r="J291" s="8" t="s">
        <v>19</v>
      </c>
      <c r="K291" s="15">
        <v>20</v>
      </c>
      <c r="L291" s="15">
        <v>5</v>
      </c>
      <c r="M291" s="15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13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5">
        <v>15</v>
      </c>
      <c r="G294" s="8" t="s">
        <v>20</v>
      </c>
      <c r="H294" s="8" t="s">
        <v>19</v>
      </c>
      <c r="I294" s="15">
        <v>30</v>
      </c>
      <c r="J294" s="8" t="s">
        <v>19</v>
      </c>
      <c r="K294" s="15">
        <v>20</v>
      </c>
      <c r="L294" s="15">
        <v>3</v>
      </c>
      <c r="M294" s="15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7:E44"/>
  <sheetViews>
    <sheetView showGridLines="0" topLeftCell="A22" workbookViewId="0">
      <selection activeCell="C38" sqref="C38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37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7" spans="3:4" x14ac:dyDescent="0.25">
      <c r="C7" t="s">
        <v>317</v>
      </c>
    </row>
    <row r="8" spans="3:4" x14ac:dyDescent="0.25">
      <c r="C8" t="s">
        <v>318</v>
      </c>
    </row>
    <row r="10" spans="3:4" x14ac:dyDescent="0.25">
      <c r="C10" s="7" t="s">
        <v>16</v>
      </c>
      <c r="D10" s="7" t="s">
        <v>24</v>
      </c>
    </row>
    <row r="11" spans="3:4" x14ac:dyDescent="0.25">
      <c r="C11" s="7"/>
      <c r="D11" s="7"/>
    </row>
    <row r="12" spans="3:4" x14ac:dyDescent="0.25">
      <c r="C12" s="7" t="s">
        <v>314</v>
      </c>
      <c r="D12" s="7" t="s">
        <v>313</v>
      </c>
    </row>
    <row r="13" spans="3:4" x14ac:dyDescent="0.25">
      <c r="C13" s="20" t="s">
        <v>23</v>
      </c>
      <c r="D13" s="21">
        <v>217</v>
      </c>
    </row>
    <row r="14" spans="3:4" x14ac:dyDescent="0.25">
      <c r="C14" s="20" t="s">
        <v>19</v>
      </c>
      <c r="D14" s="21">
        <v>1537</v>
      </c>
    </row>
    <row r="15" spans="3:4" x14ac:dyDescent="0.25">
      <c r="C15" s="20" t="s">
        <v>315</v>
      </c>
      <c r="D15" s="21">
        <v>1754</v>
      </c>
    </row>
    <row r="17" spans="3:5" x14ac:dyDescent="0.25">
      <c r="C17" t="s">
        <v>319</v>
      </c>
    </row>
    <row r="19" spans="3:5" x14ac:dyDescent="0.25">
      <c r="C19" s="7" t="s">
        <v>16</v>
      </c>
      <c r="D19" s="7" t="s">
        <v>24</v>
      </c>
    </row>
    <row r="20" spans="3:5" x14ac:dyDescent="0.25">
      <c r="C20" s="7"/>
      <c r="D20" s="7"/>
    </row>
    <row r="21" spans="3:5" x14ac:dyDescent="0.25">
      <c r="C21" s="7" t="s">
        <v>314</v>
      </c>
      <c r="D21" s="7" t="s">
        <v>321</v>
      </c>
    </row>
    <row r="22" spans="3:5" x14ac:dyDescent="0.25">
      <c r="C22" s="20" t="s">
        <v>22</v>
      </c>
      <c r="D22" s="22">
        <v>0</v>
      </c>
    </row>
    <row r="23" spans="3:5" x14ac:dyDescent="0.25">
      <c r="C23" s="20" t="s">
        <v>26</v>
      </c>
      <c r="D23" s="22">
        <v>0</v>
      </c>
    </row>
    <row r="24" spans="3:5" x14ac:dyDescent="0.25">
      <c r="C24" s="20" t="s">
        <v>18</v>
      </c>
      <c r="D24" s="22">
        <v>600</v>
      </c>
    </row>
    <row r="25" spans="3:5" x14ac:dyDescent="0.25">
      <c r="C25" s="20" t="s">
        <v>315</v>
      </c>
      <c r="D25" s="22">
        <v>600</v>
      </c>
    </row>
    <row r="28" spans="3:5" x14ac:dyDescent="0.25">
      <c r="E28" s="23">
        <f>GETPIVOTDATA("EA Play Season Pass
Price",$C$21)</f>
        <v>600</v>
      </c>
    </row>
    <row r="33" spans="3:5" x14ac:dyDescent="0.25">
      <c r="C33" t="s">
        <v>322</v>
      </c>
    </row>
    <row r="38" spans="3:5" x14ac:dyDescent="0.25">
      <c r="C38" s="7" t="s">
        <v>16</v>
      </c>
      <c r="D38" s="7" t="s">
        <v>24</v>
      </c>
    </row>
    <row r="39" spans="3:5" x14ac:dyDescent="0.25">
      <c r="C39" s="7"/>
      <c r="D39" s="7"/>
    </row>
    <row r="40" spans="3:5" x14ac:dyDescent="0.25">
      <c r="C40" s="7" t="s">
        <v>314</v>
      </c>
      <c r="D40" s="7" t="s">
        <v>320</v>
      </c>
    </row>
    <row r="41" spans="3:5" x14ac:dyDescent="0.25">
      <c r="C41" s="20" t="s">
        <v>22</v>
      </c>
      <c r="D41" s="21">
        <v>0</v>
      </c>
    </row>
    <row r="42" spans="3:5" x14ac:dyDescent="0.25">
      <c r="C42" s="20" t="s">
        <v>26</v>
      </c>
      <c r="D42" s="21">
        <v>540</v>
      </c>
    </row>
    <row r="43" spans="3:5" x14ac:dyDescent="0.25">
      <c r="C43" s="20" t="s">
        <v>18</v>
      </c>
      <c r="D43" s="21">
        <v>400</v>
      </c>
    </row>
    <row r="44" spans="3:5" x14ac:dyDescent="0.25">
      <c r="C44" s="20" t="s">
        <v>315</v>
      </c>
      <c r="D44" s="21">
        <v>940</v>
      </c>
      <c r="E44" s="23">
        <f>GETPIVOTDATA("Minecraft Season Pass Price",$C$40)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F8E7-BE1F-493C-84F4-FF0C3A6B0524}">
  <sheetPr>
    <tabColor theme="3" tint="0.749992370372631"/>
  </sheetPr>
  <dimension ref="A3:P4"/>
  <sheetViews>
    <sheetView showGridLines="0" tabSelected="1" zoomScaleNormal="100" workbookViewId="0">
      <selection activeCell="F28" sqref="F28"/>
    </sheetView>
  </sheetViews>
  <sheetFormatPr defaultRowHeight="15" x14ac:dyDescent="0.25"/>
  <cols>
    <col min="1" max="1" width="30.7109375" style="4" customWidth="1"/>
    <col min="2" max="2" width="7.5703125" style="7" customWidth="1"/>
    <col min="3" max="3" width="18.42578125" style="7" bestFit="1" customWidth="1"/>
    <col min="4" max="4" width="19.28515625" style="7" bestFit="1" customWidth="1"/>
    <col min="5" max="16384" width="9.140625" style="7"/>
  </cols>
  <sheetData>
    <row r="3" spans="3:16" ht="18" thickBot="1" x14ac:dyDescent="0.35">
      <c r="C3" s="18" t="s">
        <v>316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3:16" ht="15.75" thickTop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WANDEILSON ALVES BEZERRA FERREIRA</cp:lastModifiedBy>
  <dcterms:created xsi:type="dcterms:W3CDTF">2024-12-19T13:13:10Z</dcterms:created>
  <dcterms:modified xsi:type="dcterms:W3CDTF">2026-01-31T17:33:25Z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2026-01-31T16:10:46Z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38ae2f02-5710-4e12-80bb-83600c3fdf1e</vt:lpwstr>
  </property>
  <property fmtid="{D5CDD505-2E9C-101B-9397-08002B2CF9AE}" pid="8" name="MSIP_Label_defa4170-0d19-0005-0004-bc88714345d2_ActionId">
    <vt:lpwstr>3fac3c56-7299-4951-a858-25f106137ac2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